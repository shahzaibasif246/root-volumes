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hz\Downloads\root volume scripts\"/>
    </mc:Choice>
  </mc:AlternateContent>
  <xr:revisionPtr revIDLastSave="0" documentId="13_ncr:1_{FB80FFB9-F862-43EF-A30A-50BB65F1659F}" xr6:coauthVersionLast="47" xr6:coauthVersionMax="47" xr10:uidLastSave="{00000000-0000-0000-0000-000000000000}"/>
  <bookViews>
    <workbookView xWindow="14400" yWindow="0" windowWidth="14400" windowHeight="15600" tabRatio="571" xr2:uid="{00000000-000D-0000-FFFF-FFFF00000000}"/>
  </bookViews>
  <sheets>
    <sheet name="Measurements_all_totals" sheetId="5" r:id="rId1"/>
    <sheet name="Light micro progress" sheetId="2" r:id="rId2"/>
    <sheet name="B73 Dinolite Samples Condensed" sheetId="1" r:id="rId3"/>
    <sheet name="B73 Total per section" sheetId="4" r:id="rId4"/>
    <sheet name="B73_metaxyle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</calcChain>
</file>

<file path=xl/sharedStrings.xml><?xml version="1.0" encoding="utf-8"?>
<sst xmlns="http://schemas.openxmlformats.org/spreadsheetml/2006/main" count="5055" uniqueCount="1438">
  <si>
    <t>sample_id</t>
  </si>
  <si>
    <t>soil_treatment</t>
  </si>
  <si>
    <t>stress</t>
  </si>
  <si>
    <t>B73_01</t>
  </si>
  <si>
    <t>Live</t>
  </si>
  <si>
    <t>Waterlogged</t>
  </si>
  <si>
    <t>B73_02</t>
  </si>
  <si>
    <t>B73_03</t>
  </si>
  <si>
    <t>Control</t>
  </si>
  <si>
    <t>B73_04</t>
  </si>
  <si>
    <t>B73_05</t>
  </si>
  <si>
    <t>B73_06</t>
  </si>
  <si>
    <t>B73_07</t>
  </si>
  <si>
    <t>B73_08</t>
  </si>
  <si>
    <t>B73_09</t>
  </si>
  <si>
    <t>B73_10</t>
  </si>
  <si>
    <t>B73_11</t>
  </si>
  <si>
    <t>B73_12</t>
  </si>
  <si>
    <t>B73_13</t>
  </si>
  <si>
    <t>B73_14</t>
  </si>
  <si>
    <t>B73_15</t>
  </si>
  <si>
    <t>Steamed</t>
  </si>
  <si>
    <t>B73_16</t>
  </si>
  <si>
    <t>B73_17</t>
  </si>
  <si>
    <t>B73_18</t>
  </si>
  <si>
    <t>B73_19</t>
  </si>
  <si>
    <t>B73_20</t>
  </si>
  <si>
    <t>B73_21</t>
  </si>
  <si>
    <t>B73_22</t>
  </si>
  <si>
    <t>B73_23</t>
  </si>
  <si>
    <t>B73_24</t>
  </si>
  <si>
    <t>B73_25</t>
  </si>
  <si>
    <t>B73_26</t>
  </si>
  <si>
    <t>B73_27</t>
  </si>
  <si>
    <t>width_img_px</t>
  </si>
  <si>
    <t>height_img_px</t>
  </si>
  <si>
    <t>width_scalebar_px</t>
  </si>
  <si>
    <t>number_of_sections</t>
  </si>
  <si>
    <t>deteriorated_before_first_section_mm</t>
  </si>
  <si>
    <t>Sample</t>
  </si>
  <si>
    <t>Root Harvested?</t>
  </si>
  <si>
    <t>Sectioned by?</t>
  </si>
  <si>
    <t>Microscope</t>
  </si>
  <si>
    <t>Scale bar</t>
  </si>
  <si>
    <t>Yes</t>
  </si>
  <si>
    <t>Mike (New)</t>
  </si>
  <si>
    <t>4X</t>
  </si>
  <si>
    <t>100um</t>
  </si>
  <si>
    <t>Rack</t>
  </si>
  <si>
    <t>Sample name double check</t>
  </si>
  <si>
    <t>Sectioning notes</t>
  </si>
  <si>
    <t>Date</t>
  </si>
  <si>
    <t>Basal Root Section Name</t>
  </si>
  <si>
    <t>Mid-point Root Section Name</t>
  </si>
  <si>
    <t>Distal Root Section Name</t>
  </si>
  <si>
    <t>B73_07:0018-0958-1826:A0018-20250905_155754</t>
  </si>
  <si>
    <t>B73_07:0018-0965-1948:A0018-20250905_155754</t>
  </si>
  <si>
    <t>B73_07:0018-0964-1870:A0018-20250905_155754</t>
  </si>
  <si>
    <t>B73_07:0018-0999-1734:A0018-20250905_155754</t>
  </si>
  <si>
    <t>B73_07:0018-1012-2000:A0018-20250905_155754</t>
  </si>
  <si>
    <t>B73_07:0018-1029-1647:A0018-20250905_155754</t>
  </si>
  <si>
    <t>B73_07:0018-1032-2018:A0018-20250905_155754</t>
  </si>
  <si>
    <t>B73_07:0018-1113-1599:A0018-20250905_155754</t>
  </si>
  <si>
    <t>B73_07:0018-1141-2101:A0018-20250905_155754</t>
  </si>
  <si>
    <t>B73_07:0018-1201-1559:A0018-20250905_155754</t>
  </si>
  <si>
    <t>B73_07:0018-1239-2115:A0018-20250905_155754</t>
  </si>
  <si>
    <t>B73_07:0018-1272-1551:A0018-20250905_155754</t>
  </si>
  <si>
    <t>B73_07:0018-1328-2119:A0018-20250905_155754</t>
  </si>
  <si>
    <t>B73_07:0018-1363-1578:A0018-20250905_155754</t>
  </si>
  <si>
    <t>B73_07:0018-1406-2098:A0018-20250905_155754</t>
  </si>
  <si>
    <t>B73_07:0018-1440-1608:A0018-20250905_155754</t>
  </si>
  <si>
    <t>B73_07:0018-1483-2047:A0018-20250905_155754</t>
  </si>
  <si>
    <t>B73_07:0018-1475-1664:A0018-20250905_155754</t>
  </si>
  <si>
    <t>B73_07:0018-1500-1979:A0018-20250905_155754</t>
  </si>
  <si>
    <t>B73_07:0018-1540-1907:A0018-20250905_155754</t>
  </si>
  <si>
    <t>B73_07:0018-1552-1854:A0018-20250905_155754</t>
  </si>
  <si>
    <t>B73_07:0018-1534-1796:A0018-20250905_155754</t>
  </si>
  <si>
    <t>Metaxylem</t>
  </si>
  <si>
    <t>feature number</t>
  </si>
  <si>
    <t>feature</t>
  </si>
  <si>
    <t>section</t>
  </si>
  <si>
    <t>label</t>
  </si>
  <si>
    <t>area</t>
  </si>
  <si>
    <t>perimeter</t>
  </si>
  <si>
    <t>bx</t>
  </si>
  <si>
    <t>by</t>
  </si>
  <si>
    <t>width</t>
  </si>
  <si>
    <t>height</t>
  </si>
  <si>
    <t>circularity</t>
  </si>
  <si>
    <t>aspect_ratio</t>
  </si>
  <si>
    <t>roundness</t>
  </si>
  <si>
    <t>solidity</t>
  </si>
  <si>
    <t>B73_07:0001-0993-2184:A0001-20250905_153353</t>
  </si>
  <si>
    <t>B73_07:0001-0992-2135:A0001-20250905_153353</t>
  </si>
  <si>
    <t>B73_07:0001-1022-2093:A0001-20250905_153353</t>
  </si>
  <si>
    <t>B73_07:0001-1056-2225:A0001-20250905_153353</t>
  </si>
  <si>
    <t>B73_07:0001-1079-2105:A0001-20250905_153353</t>
  </si>
  <si>
    <t>B73_07:0001-1091-2183:A0001-20250905_153353</t>
  </si>
  <si>
    <t>B73_07:0002-1142-1815:A0002-20250905_153526</t>
  </si>
  <si>
    <t>B73_07:0002-1170-1891:A0002-20250905_153526</t>
  </si>
  <si>
    <t>B73_07:0002-1218-1732:A0002-20250905_153526</t>
  </si>
  <si>
    <t>B73_07:0002-1263-1903:A0002-20250905_153526</t>
  </si>
  <si>
    <t>B73_07:0002-1309-1720:A0002-20250905_153526</t>
  </si>
  <si>
    <t>B73_07:0002-1317-1831:A0002-20250905_153526</t>
  </si>
  <si>
    <t>B73_07:0003-1092-2075:A0003-20250905_153813</t>
  </si>
  <si>
    <t>B73_07:0003-1100-1937:A0003-20250905_153813</t>
  </si>
  <si>
    <t>B73_07:0003-1174-1878:A0003-20250905_153813</t>
  </si>
  <si>
    <t>B73_07:0003-1200-2084:A0003-20250905_153813</t>
  </si>
  <si>
    <t>B73_07:0003-1289-1904:A0003-20250905_153813</t>
  </si>
  <si>
    <t>B73_07:0003-1300-2000:A0003-20250905_153813</t>
  </si>
  <si>
    <t>B73_07:0004-0825-1705:A0004-20250905_153916</t>
  </si>
  <si>
    <t>B73_07:0004-0826-1783:A0004-20250905_153916</t>
  </si>
  <si>
    <t>B73_07:0004-0875-1629:A0004-20250905_153916</t>
  </si>
  <si>
    <t>B73_07:0004-0902-1843:A0004-20250905_153916</t>
  </si>
  <si>
    <t>B73_07:0004-0978-1837:A0004-20250905_153916</t>
  </si>
  <si>
    <t>B73_07:0004-0984-1588:A0004-20250905_153916</t>
  </si>
  <si>
    <t>B73_07:0004-1040-1791:A0004-20250905_153916</t>
  </si>
  <si>
    <t>B73_07:0004-1059-1712:A0004-20250905_153916</t>
  </si>
  <si>
    <t>B73_07:0004-1069-1639:A0004-20250905_153916</t>
  </si>
  <si>
    <t>B73_07:0005-0823-1574:A0005-20250905_154115</t>
  </si>
  <si>
    <t>B73_07:0005-0845-1456:A0005-20250905_154115</t>
  </si>
  <si>
    <t>B73_07:0005-0901-1666:A0005-20250905_154115</t>
  </si>
  <si>
    <t>B73_07:0005-0918-1431:A0005-20250905_154115</t>
  </si>
  <si>
    <t>B73_07:0005-1012-1405:A0005-20250905_154115</t>
  </si>
  <si>
    <t>B73_07:0005-1014-1696:A0005-20250905_154115</t>
  </si>
  <si>
    <t>B73_07:0005-1083-1650:A0005-20250905_154115</t>
  </si>
  <si>
    <t>B73_07:0005-1080-1451:A0005-20250905_154115</t>
  </si>
  <si>
    <t>B73_07:0005-1117-1535:A0005-20250905_154115</t>
  </si>
  <si>
    <t>B73_07:0006-1069-1988:A0006-20250905_154225</t>
  </si>
  <si>
    <t>B73_07:0006-1086-1886:A0006-20250905_154225</t>
  </si>
  <si>
    <t>B73_07:0006-1119-2125:A0006-20250905_154225</t>
  </si>
  <si>
    <t>B73_07:0006-1175-1854:A0006-20250905_154225</t>
  </si>
  <si>
    <t>B73_07:0006-1236-2143:A0006-20250905_154225</t>
  </si>
  <si>
    <t>B73_07:0006-1291-1863:A0006-20250905_154225</t>
  </si>
  <si>
    <t>B73_07:0006-1296-2089:A0006-20250905_154225</t>
  </si>
  <si>
    <t>B73_07:0006-1352-2022:A0006-20250905_154225</t>
  </si>
  <si>
    <t>B73_07:0006-1356-1939:A0006-20250905_154225</t>
  </si>
  <si>
    <t>B73_07:0007-0929-1972:A0007-20250905_154341</t>
  </si>
  <si>
    <t>B73_07:0007-0960-2064:A0007-20250905_154341</t>
  </si>
  <si>
    <t>B73_07:0007-0993-1890:A0007-20250905_154341</t>
  </si>
  <si>
    <t>B73_07:0007-1020-2145:A0007-20250905_154341</t>
  </si>
  <si>
    <t>B73_07:0007-1114-2154:A0007-20250905_154341</t>
  </si>
  <si>
    <t>B73_07:0007-1117-1838:A0007-20250905_154341</t>
  </si>
  <si>
    <t>B73_07:0007-1172-2105:A0007-20250905_154341</t>
  </si>
  <si>
    <t>B73_07:0007-1201-1862:A0007-20250905_154341</t>
  </si>
  <si>
    <t>B73_07:0007-1206-2021:A0007-20250905_154341</t>
  </si>
  <si>
    <t>B73_07:0007-1217-1941:A0007-20250905_154341</t>
  </si>
  <si>
    <t>B73_07:0008-0934-1975:A0008-20250905_154446</t>
  </si>
  <si>
    <t>B73_07:0008-0939-1878:A0008-20250905_154446</t>
  </si>
  <si>
    <t>B73_07:0008-0951-1802:A0008-20250905_154446</t>
  </si>
  <si>
    <t>B73_07:0008-0982-1954:A0008-20250905_154446</t>
  </si>
  <si>
    <t>B73_07:0008-1013-2024:A0008-20250905_154446</t>
  </si>
  <si>
    <t>B73_07:0008-1033-1748:A0008-20250905_154446</t>
  </si>
  <si>
    <t>B73_07:0008-1081-2069:A0008-20250905_154446</t>
  </si>
  <si>
    <t>B73_07:0008-1130-1770:A0008-20250905_154446</t>
  </si>
  <si>
    <t>B73_07:0008-1156-2027:A0008-20250905_154446</t>
  </si>
  <si>
    <t>B73_07:0008-1215-1976:A0008-20250905_154446</t>
  </si>
  <si>
    <t>B73_07:0008-1210-1810:A0008-20250905_154446</t>
  </si>
  <si>
    <t>B73_07:0008-1212-1907:A0008-20250905_154446</t>
  </si>
  <si>
    <t>B73_07:0009-0736-1991:A0009-20250905_154556</t>
  </si>
  <si>
    <t>B73_07:0009-0760-2056:A0009-20250905_154556</t>
  </si>
  <si>
    <t>B73_07:0009-0786-1890:A0009-20250905_154556</t>
  </si>
  <si>
    <t>B73_07:0009-0807-2129:A0009-20250905_154556</t>
  </si>
  <si>
    <t>B73_07:0009-0880-1873:A0009-20250905_154556</t>
  </si>
  <si>
    <t>B73_07:0009-0886-2159:A0009-20250905_154556</t>
  </si>
  <si>
    <t>B73_07:0009-0964-2161:A0009-20250905_154556</t>
  </si>
  <si>
    <t>B73_07:0009-0967-1879:A0009-20250905_154556</t>
  </si>
  <si>
    <t>B73_07:0009-1006-1962:A0009-20250905_154556</t>
  </si>
  <si>
    <t>B73_07:0009-1012-2092:A0009-20250905_154556</t>
  </si>
  <si>
    <t>B73_07:0009-1052-2016:A0009-20250905_154556</t>
  </si>
  <si>
    <t>B73_07:0010-1042-1798:A0010-20250905_154702</t>
  </si>
  <si>
    <t>B73_07:0010-1059-1875:A0010-20250905_154702</t>
  </si>
  <si>
    <t>B73_07:0010-1075-1719:A0010-20250905_154702</t>
  </si>
  <si>
    <t>B73_07:0010-1129-1924:A0010-20250905_154702</t>
  </si>
  <si>
    <t>B73_07:0010-1165-1675:A0010-20250905_154702</t>
  </si>
  <si>
    <t>B73_07:0010-1214-1948:A0010-20250905_154702</t>
  </si>
  <si>
    <t>B73_07:0010-1242-1694:A0010-20250905_154702</t>
  </si>
  <si>
    <t>B73_07:0010-1286-1923:A0010-20250905_154702</t>
  </si>
  <si>
    <t>B73_07:0010-1302-1715:A0010-20250905_154702</t>
  </si>
  <si>
    <t>B73_07:0010-1329-1789:A0010-20250905_154702</t>
  </si>
  <si>
    <t>B73_07:0010-1346-1866:A0010-20250905_154702</t>
  </si>
  <si>
    <t>B73_07:0011-0940-1837:A0011-20250905_154800</t>
  </si>
  <si>
    <t>B73_07:0011-0967-1738:A0011-20250905_154800</t>
  </si>
  <si>
    <t>B73_07:0011-0976-1936:A0011-20250905_154800</t>
  </si>
  <si>
    <t>B73_07:0011-1041-2003:A0011-20250905_154800</t>
  </si>
  <si>
    <t>B73_07:0011-1041-1675:A0011-20250905_154800</t>
  </si>
  <si>
    <t>B73_07:0011-1131-2035:A0011-20250905_154800</t>
  </si>
  <si>
    <t>B73_07:0011-1145-1678:A0011-20250905_154800</t>
  </si>
  <si>
    <t>B73_07:0011-1211-1984:A0011-20250905_154800</t>
  </si>
  <si>
    <t>B73_07:0011-1242-1718:A0011-20250905_154800</t>
  </si>
  <si>
    <t>B73_07:0011-1270-1911:A0011-20250905_154800</t>
  </si>
  <si>
    <t>B73_07:0011-1283-1833:A0011-20250905_154800</t>
  </si>
  <si>
    <t>B73_07:0012-1123-1821:A0012-20250905_154920</t>
  </si>
  <si>
    <t>B73_07:0012-1140-1729:A0012-20250905_154920</t>
  </si>
  <si>
    <t>B73_07:0012-1171-1897:A0012-20250905_154920</t>
  </si>
  <si>
    <t>B73_07:0012-1203-1670:A0012-20250905_154920</t>
  </si>
  <si>
    <t>B73_07:0012-1240-1938:A0012-20250905_154920</t>
  </si>
  <si>
    <t>B73_07:0012-1280-1631:A0012-20250905_154920</t>
  </si>
  <si>
    <t>B73_07:0012-1323-1961:A0012-20250905_154920</t>
  </si>
  <si>
    <t>B73_07:0012-1387-1657:A0012-20250905_154920</t>
  </si>
  <si>
    <t>B73_07:0012-1417-1914:A0012-20250905_154920</t>
  </si>
  <si>
    <t>B73_07:0012-1446-1726:A0012-20250905_154920</t>
  </si>
  <si>
    <t>B73_07:0012-1455-1823:A0012-20250905_154920</t>
  </si>
  <si>
    <t>B73_07:0013-0880-2090:A0013-20250905_155027</t>
  </si>
  <si>
    <t>B73_07:0013-0912-2212:A0013-20250905_155027</t>
  </si>
  <si>
    <t>B73_07:0013-0925-2002:A0013-20250905_155027</t>
  </si>
  <si>
    <t>B73_07:0013-0991-2317:A0013-20250905_155027</t>
  </si>
  <si>
    <t>B73_07:0013-1036-1930:A0013-20250905_155027</t>
  </si>
  <si>
    <t>B73_07:0013-1101-2318:A0013-20250905_155027</t>
  </si>
  <si>
    <t>B73_07:0013-1180-1939:A0013-20250905_155027</t>
  </si>
  <si>
    <t>B73_07:0013-1218-2312:A0013-20250905_155027</t>
  </si>
  <si>
    <t>B73_07:0013-1258-2026:A0013-20250905_155027</t>
  </si>
  <si>
    <t>B73_07:0013-1303-2226:A0013-20250905_155027</t>
  </si>
  <si>
    <t>B73_07:0013-1318-2118:A0013-20250905_155027</t>
  </si>
  <si>
    <t>B73_07:0014-0737-1898:A0014-20250905_155132</t>
  </si>
  <si>
    <t>B73_07:0014-0749-1781:A0014-20250905_155132</t>
  </si>
  <si>
    <t>B73_07:0014-0777-2024:A0014-20250905_155132</t>
  </si>
  <si>
    <t>B73_07:0014-0814-1710:A0014-20250905_155132</t>
  </si>
  <si>
    <t>B73_07:0014-0878-1659:A0014-20250905_155132</t>
  </si>
  <si>
    <t>B73_07:0014-0878-2077:A0014-20250905_155132</t>
  </si>
  <si>
    <t>B73_07:0014-0954-1668:A0014-20250905_155132</t>
  </si>
  <si>
    <t>B73_07:0014-0981-2097:A0014-20250905_155132</t>
  </si>
  <si>
    <t>B73_07:0014-1081-1736:A0014-20250905_155132</t>
  </si>
  <si>
    <t>B73_07:0014-1111-2048:A0014-20250905_155132</t>
  </si>
  <si>
    <t>B73_07:0014-1150-1837:A0014-20250905_155132</t>
  </si>
  <si>
    <t>B73_07:0014-1162-1955:A0014-20250905_155132</t>
  </si>
  <si>
    <t>B73_07:0015-1049-1893:A0015-20250905_155335</t>
  </si>
  <si>
    <t>B73_07:0015-1047-1829:A0015-20250905_155335</t>
  </si>
  <si>
    <t>B73_07:0015-1067-1766:A0015-20250905_155335</t>
  </si>
  <si>
    <t>B73_07:0015-1097-1702:A0015-20250905_155335</t>
  </si>
  <si>
    <t>B73_07:0015-1103-1959:A0015-20250905_155335</t>
  </si>
  <si>
    <t>B73_07:0015-1161-2011:A0015-20250905_155335</t>
  </si>
  <si>
    <t>B73_07:0015-1160-1625:A0015-20250905_155335</t>
  </si>
  <si>
    <t>B73_07:0015-1234-2032:A0015-20250905_155335</t>
  </si>
  <si>
    <t>B73_07:0015-1266-1609:A0015-20250905_155335</t>
  </si>
  <si>
    <t>B73_07:0015-1328-2023:A0015-20250905_155335</t>
  </si>
  <si>
    <t>B73_07:0015-1362-1644:A0015-20250905_155335</t>
  </si>
  <si>
    <t>B73_07:0015-1412-1961:A0015-20250905_155335</t>
  </si>
  <si>
    <t>B73_07:0015-1430-1735:A0015-20250905_155335</t>
  </si>
  <si>
    <t>B73_07:0015-1449-1894:A0015-20250905_155335</t>
  </si>
  <si>
    <t>B73_07:0015-1455-1828:A0015-20250905_155335</t>
  </si>
  <si>
    <t>B73_07:0016-0686-1884:A0016-20250905_155513</t>
  </si>
  <si>
    <t>B73_07:0016-0696-2047:A0016-20250905_155513</t>
  </si>
  <si>
    <t>B73_07:0016-0788-2162:A0016-20250905_155513</t>
  </si>
  <si>
    <t>B73_07:0016-0778-1739:A0016-20250905_155513</t>
  </si>
  <si>
    <t>B73_07:0016-0883-2243:A0016-20250905_155513</t>
  </si>
  <si>
    <t>B73_07:0016-0942-1651:A0016-20250905_155513</t>
  </si>
  <si>
    <t>B73_07:0016-0976-2273:A0016-20250905_155513</t>
  </si>
  <si>
    <t>B73_07:0016-1074-1649:A0016-20250905_155513</t>
  </si>
  <si>
    <t>B73_07:0016-1104-2271:A0016-20250905_155513</t>
  </si>
  <si>
    <t>B73_07:0016-1158-1667:A0016-20250905_155513</t>
  </si>
  <si>
    <t>B73_07:0016-1209-2211:A0016-20250905_155513</t>
  </si>
  <si>
    <t>B73_07:0016-1271-1750:A0016-20250905_155513</t>
  </si>
  <si>
    <t>B73_07:0016-1299-2144:A0016-20250905_155513</t>
  </si>
  <si>
    <t>B73_07:0016-1340-2017:A0016-20250905_155513</t>
  </si>
  <si>
    <t>B73_07:0016-1340-1882:A0016-20250905_155513</t>
  </si>
  <si>
    <t>B73_07:0017-0764-1966:A0017-20250905_155638</t>
  </si>
  <si>
    <t>B73_07:0017-0768-1856:A0017-20250905_155638</t>
  </si>
  <si>
    <t>B73_07:0017-0812-2067:A0017-20250905_155638</t>
  </si>
  <si>
    <t>B73_07:0017-0839-1670:A0017-20250905_155638</t>
  </si>
  <si>
    <t>B73_07:0017-0880-2169:A0017-20250905_155638</t>
  </si>
  <si>
    <t>B73_07:0017-0891-1578:A0017-20250905_155638</t>
  </si>
  <si>
    <t>B73_07:0017-0986-1542:A0017-20250905_155638</t>
  </si>
  <si>
    <t>B73_07:0017-1007-2224:A0017-20250905_155638</t>
  </si>
  <si>
    <t>B73_07:0017-1141-2251:A0017-20250905_155638</t>
  </si>
  <si>
    <t>B73_07:0017-1172-1534:A0017-20250905_155638</t>
  </si>
  <si>
    <t>B73_07:0017-1290-1546:A0017-20250905_155638</t>
  </si>
  <si>
    <t>B73_07:0017-1286-2213:A0017-20250905_155638</t>
  </si>
  <si>
    <t>B73_07:0017-1378-1613:A0017-20250905_155638</t>
  </si>
  <si>
    <t>B73_07:0017-1402-2119:A0017-20250905_155638</t>
  </si>
  <si>
    <t>B73_07:0017-1478-2056:A0017-20250905_155638</t>
  </si>
  <si>
    <t>B73_07:0017-1469-1725:A0017-20250905_155638</t>
  </si>
  <si>
    <t>B73_07:0017-1508-1941:A0017-20250905_155638</t>
  </si>
  <si>
    <t>B73_07:0017-1510-1814:A0017-20250905_155638</t>
  </si>
  <si>
    <t>section_number</t>
  </si>
  <si>
    <t>conversion_rate_mm_per_px</t>
  </si>
  <si>
    <t>width_scalebar_mm</t>
  </si>
  <si>
    <t>root_area</t>
  </si>
  <si>
    <t>root_perimeter</t>
  </si>
  <si>
    <t>stele_area</t>
  </si>
  <si>
    <t>stele_perimeter</t>
  </si>
  <si>
    <t>pith_area</t>
  </si>
  <si>
    <t>pith_perimeter</t>
  </si>
  <si>
    <t>aerenchyma_area</t>
  </si>
  <si>
    <t>metaxylem_area</t>
  </si>
  <si>
    <t>deterioration_score</t>
  </si>
  <si>
    <t>metaxylem_number</t>
  </si>
  <si>
    <t>na</t>
  </si>
  <si>
    <t>Mesquite_14</t>
  </si>
  <si>
    <t>Shahzaib</t>
  </si>
  <si>
    <t>IMG_20250905-140500.jpg</t>
  </si>
  <si>
    <t>IMG_20250905-141358.jpg</t>
  </si>
  <si>
    <t>IMG_20250905-141921.jpg</t>
  </si>
  <si>
    <t>OK1801_16</t>
  </si>
  <si>
    <t>IMG_20250905-143223.jpg</t>
  </si>
  <si>
    <t>IMG_20250905-143853.jpg</t>
  </si>
  <si>
    <t>IMG_20250905-144753.jpg</t>
  </si>
  <si>
    <t>Little_River_IA_09</t>
  </si>
  <si>
    <t>IMG_20250905-150129.jpg</t>
  </si>
  <si>
    <t>IMG_20250905-150900.jpg</t>
  </si>
  <si>
    <t>IMG_20250905-152124.jpg</t>
  </si>
  <si>
    <t>OK1127_07</t>
  </si>
  <si>
    <t>mid section has split in the steele</t>
  </si>
  <si>
    <t>IMG_20250905-153309.jpg</t>
  </si>
  <si>
    <t>IMG_20250905-154119.jpg</t>
  </si>
  <si>
    <t>IMG_20250905-155419.jpg</t>
  </si>
  <si>
    <t>KZ04_05</t>
  </si>
  <si>
    <t>IMG_20250905-160704.jpg</t>
  </si>
  <si>
    <t>IMG_20250905-162806.jpg</t>
  </si>
  <si>
    <t>IMG_20250905-164513.jpg</t>
  </si>
  <si>
    <t>2X</t>
  </si>
  <si>
    <t>KZ04_12</t>
  </si>
  <si>
    <t>forgot to change scale for first distal and mid point. should be 4x-100um</t>
  </si>
  <si>
    <t>IMG_20250909-121611.jpg</t>
  </si>
  <si>
    <t>IMG_20250909-122022.jpg</t>
  </si>
  <si>
    <t>IMG_20250909-122514.jpg</t>
  </si>
  <si>
    <t>OK1063_07</t>
  </si>
  <si>
    <t>IMG_20250909-123737.jpg</t>
  </si>
  <si>
    <t>IMG_20250909-124234.jpg</t>
  </si>
  <si>
    <t>IMG_20250909-124859.jpg</t>
  </si>
  <si>
    <t>OK1801_11</t>
  </si>
  <si>
    <t>IMG_20250909-125745.jpg</t>
  </si>
  <si>
    <t>IMG_20250909-130311.jpg</t>
  </si>
  <si>
    <t>IMG_20250909-130559.jpg</t>
  </si>
  <si>
    <t>OK1055_07</t>
  </si>
  <si>
    <t>IMG_20250909-131635.jpg</t>
  </si>
  <si>
    <t>IMG_20250909-132043.jpg</t>
  </si>
  <si>
    <t>IMG_20250909-132530.jpg</t>
  </si>
  <si>
    <t>OK1063_05</t>
  </si>
  <si>
    <t>IMG_20250909-134338.jpg</t>
  </si>
  <si>
    <t>IMG_20250909-134736.jpg</t>
  </si>
  <si>
    <t>IMG_20250909-135205.jpg</t>
  </si>
  <si>
    <t>Little_River_IA_10</t>
  </si>
  <si>
    <t>IMG_20250909-140154.jpg</t>
  </si>
  <si>
    <t>IMG_20250909-140717.jpg</t>
  </si>
  <si>
    <t>IMG_20250909-141347.jpg</t>
  </si>
  <si>
    <t>OK1374_14</t>
  </si>
  <si>
    <t>IMG_20250909-142213.jpg</t>
  </si>
  <si>
    <t>IMG_20250909-142707.jpg</t>
  </si>
  <si>
    <t>IMG_20250909-143034.jpg</t>
  </si>
  <si>
    <t>KZ04_09</t>
  </si>
  <si>
    <t>IMG_20250909-143846.jpg</t>
  </si>
  <si>
    <t>IMG_20250909-144731.jpg</t>
  </si>
  <si>
    <t>IMG_20250909-145354.jpg</t>
  </si>
  <si>
    <t>Little_River_IA_08</t>
  </si>
  <si>
    <t>IMG_20250909-150614.jpg</t>
  </si>
  <si>
    <t>IMG_20250909-151431.jpg</t>
  </si>
  <si>
    <t>IMG_20250909-153247.jpg</t>
  </si>
  <si>
    <t>OK1055_03</t>
  </si>
  <si>
    <t>IMG_20250909-154517.jpg</t>
  </si>
  <si>
    <t>IMG_20250909-154938.jpg</t>
  </si>
  <si>
    <t>IMG_20250909-155441.jpg</t>
  </si>
  <si>
    <t>OK1055_04</t>
  </si>
  <si>
    <t>IMG_20250909-160322.jpg</t>
  </si>
  <si>
    <t>IMG_20250909-160831.jpg</t>
  </si>
  <si>
    <t>IMG_20250909-161233.jpg</t>
  </si>
  <si>
    <t>OK1055_09</t>
  </si>
  <si>
    <t>IMG_20250909-162200.jpg</t>
  </si>
  <si>
    <t>IMG_20250909-162905.jpg</t>
  </si>
  <si>
    <t>IMG_20250909-163309.jpg</t>
  </si>
  <si>
    <t>Eddy_05</t>
  </si>
  <si>
    <t>IMG_20250910-163527.jpg</t>
  </si>
  <si>
    <t>IMG_20250910-163904.jpg</t>
  </si>
  <si>
    <t>IMG_20250910-164325.jpg</t>
  </si>
  <si>
    <t>Benbrook_04</t>
  </si>
  <si>
    <t>IMG_20250910-132703.jpg</t>
  </si>
  <si>
    <t>IMG_20250910-133239.jpg</t>
  </si>
  <si>
    <t>IMG_20250910-133958.jpg</t>
  </si>
  <si>
    <t>OK1424_09</t>
  </si>
  <si>
    <t>IMG_20250910-135020.jpg</t>
  </si>
  <si>
    <t>IMG_20250910-135444.jpg</t>
  </si>
  <si>
    <t>IMG_20250910-135929.jpg</t>
  </si>
  <si>
    <t>OK1055_10</t>
  </si>
  <si>
    <t>IMG_20250910-140730.jpg</t>
  </si>
  <si>
    <t>IMG_20250910-141233.jpg</t>
  </si>
  <si>
    <t>IMG_20250910-141829.jpg</t>
  </si>
  <si>
    <t>Eddy_12</t>
  </si>
  <si>
    <t>scale should be 4x-100</t>
  </si>
  <si>
    <t>IMG_20250910-142807.jpg</t>
  </si>
  <si>
    <t>IMG_20250910-143332.jpg</t>
  </si>
  <si>
    <t>IMG_20250910-144436.jpg</t>
  </si>
  <si>
    <t>OK1801_14</t>
  </si>
  <si>
    <t>IMG_20250910-145846.jpg</t>
  </si>
  <si>
    <t>IMG_20250910-150212.jpg</t>
  </si>
  <si>
    <t>IMG_20250910-150511.jpg</t>
  </si>
  <si>
    <t>Little_River_IA_13</t>
  </si>
  <si>
    <t>scale should be 4x-100 for distal and mid</t>
  </si>
  <si>
    <t>IMG_20250910-151419.jpg</t>
  </si>
  <si>
    <t>IMG_20250910-151914.jpg</t>
  </si>
  <si>
    <t>IMG_20250910-152929.jpg</t>
  </si>
  <si>
    <t>KZ04_01</t>
  </si>
  <si>
    <t>IMG_20250910-153744.jpg</t>
  </si>
  <si>
    <t>IMG_20250910-154931.jpg</t>
  </si>
  <si>
    <t>Objective (Distal)</t>
  </si>
  <si>
    <t>Objective (Mid)</t>
  </si>
  <si>
    <t>Objective (Basal)</t>
  </si>
  <si>
    <t>objective</t>
  </si>
  <si>
    <t>Benbrook_04_basal_4X.JPG</t>
  </si>
  <si>
    <t>Benbrook_04_distal_4X.JPG</t>
  </si>
  <si>
    <t>Benbrook_04_middle_4X.JPG</t>
  </si>
  <si>
    <t>Eddy_05_basal_2X.JPG</t>
  </si>
  <si>
    <t>Eddy_05_distal_4X.JPG</t>
  </si>
  <si>
    <t>Eddy_05_middle_2X.JPG</t>
  </si>
  <si>
    <t>Eddy_12_basal_4X.JPG</t>
  </si>
  <si>
    <t>Eddy_12_distal_4X.JPG</t>
  </si>
  <si>
    <t>Eddy_12_middle_4X.JPG</t>
  </si>
  <si>
    <t>KZ04_01_basal_4X.JPG</t>
  </si>
  <si>
    <t>KZ04_01_distal_4X.JPG</t>
  </si>
  <si>
    <t>KZ04_01_middle_4X.JPG</t>
  </si>
  <si>
    <t>KZ04_05_basal_2X.JPG</t>
  </si>
  <si>
    <t>KZ04_05_distal_4X.JPG</t>
  </si>
  <si>
    <t>KZ04_05_middle_2X.JPG</t>
  </si>
  <si>
    <t>KZ04_09_distal_2X.JPG</t>
  </si>
  <si>
    <t>KZ04_09_middle_4X.JPG</t>
  </si>
  <si>
    <t>KZ04_12_distal_4X.JPG</t>
  </si>
  <si>
    <t>KZ04_12_middle_4X.JPG</t>
  </si>
  <si>
    <t>Little_River_IA_08_basal_4X.JPG</t>
  </si>
  <si>
    <t>Little_River_IA_08_distal_2X.JPG</t>
  </si>
  <si>
    <t>Little_River_IA_08_middle_4X.JPG</t>
  </si>
  <si>
    <t>Little_River_IA_09_basal_4X.JPG</t>
  </si>
  <si>
    <t>Little_River_IA_09_distal_4X.JPG</t>
  </si>
  <si>
    <t>Little_River_IA_09_middle_4X.JPG</t>
  </si>
  <si>
    <t>Little_River_IA_10_basal_4X.JPG</t>
  </si>
  <si>
    <t>Little_River_IA_10_distal_4X.JPG</t>
  </si>
  <si>
    <t>Little_River_IA_10_middle_4X.JPG</t>
  </si>
  <si>
    <t>Little_River_IA_13_basal_4X.JPG</t>
  </si>
  <si>
    <t>Little_River_IA_13_distal_4X.JPG</t>
  </si>
  <si>
    <t>Little_River_IA_13_middle_4X.JPG</t>
  </si>
  <si>
    <t>Mesquite_14_basal_4X.JPG</t>
  </si>
  <si>
    <t>Mesquite_14_distal_4X.JPG</t>
  </si>
  <si>
    <t>Mesquite_14_middle_4X.JPG</t>
  </si>
  <si>
    <t>OK1055_03_basal_4X.JPG</t>
  </si>
  <si>
    <t>OK1055_03_distal_4X.JPG</t>
  </si>
  <si>
    <t>OK1055_03_middle_4X.JPG</t>
  </si>
  <si>
    <t>OK1055_04_basal_4X.JPG</t>
  </si>
  <si>
    <t>OK1055_04_distal_4X.JPG</t>
  </si>
  <si>
    <t>OK1055_04_middle_4X.JPG</t>
  </si>
  <si>
    <t>OK1055_07_distal_4X.JPG</t>
  </si>
  <si>
    <t>OK1055_07_middle_4X.JPG</t>
  </si>
  <si>
    <t>OK1055_09_basal_2X.JPG</t>
  </si>
  <si>
    <t>OK1055_09_distal_4X.JPG</t>
  </si>
  <si>
    <t>OK1055_09_middle_2X.JPG</t>
  </si>
  <si>
    <t>OK1055_10_distal_4X.JPG</t>
  </si>
  <si>
    <t>OK1055_10_middle_4X.JPG</t>
  </si>
  <si>
    <t>OK1063_05_basal_4X.JPG</t>
  </si>
  <si>
    <t>OK1063_05_distal_4X.JPG</t>
  </si>
  <si>
    <t>OK1063_05_middle_4X.JPG</t>
  </si>
  <si>
    <t>OK1063_07_basal_4X.JPG</t>
  </si>
  <si>
    <t>OK1063_07_distal_4X.JPG</t>
  </si>
  <si>
    <t>OK1063_07_middle_4X.JPG</t>
  </si>
  <si>
    <t>OK1127_07_basal_4X.JPG</t>
  </si>
  <si>
    <t>OK1127_07_distal_4X.JPG</t>
  </si>
  <si>
    <t>OK1127_07_middle_4X.JPG</t>
  </si>
  <si>
    <t>OK1374_14_distal_4X.JPG</t>
  </si>
  <si>
    <t>OK1374_14_middle_4X.JPG</t>
  </si>
  <si>
    <t>OK1424_09_basal_4X.JPG</t>
  </si>
  <si>
    <t>OK1424_09_distal_4X.JPG</t>
  </si>
  <si>
    <t>OK1424_09_middle_4X.JPG</t>
  </si>
  <si>
    <t>OK1801_11_basal_4X.JPG</t>
  </si>
  <si>
    <t>OK1801_11_distal_4X.JPG</t>
  </si>
  <si>
    <t>OK1801_11_middle_4X.JPG</t>
  </si>
  <si>
    <t>OK1801_14_basal_4X.JPG</t>
  </si>
  <si>
    <t>OK1801_14_distal_4X.JPG</t>
  </si>
  <si>
    <t>OK1801_14_middle_4X.JPG</t>
  </si>
  <si>
    <t>OK1801_16_basal_4X.JPG</t>
  </si>
  <si>
    <t>OK1801_16_distal_4X.JPG</t>
  </si>
  <si>
    <t>OK1801_16_middle_4X.JPG</t>
  </si>
  <si>
    <t>cortical_cell_file_number</t>
  </si>
  <si>
    <t>KZ04_09_basal_2X.JPG</t>
  </si>
  <si>
    <t>KZ04_12_basal_2X.JPG</t>
  </si>
  <si>
    <t>OK1055_07_basal_2X.JPG</t>
  </si>
  <si>
    <t>OK1055_10_basal_2X.JPG</t>
  </si>
  <si>
    <t>OK1374_14_basal_2X.JPG</t>
  </si>
  <si>
    <t>conversion_rate_px_per_mm</t>
  </si>
  <si>
    <t>Tip broken</t>
  </si>
  <si>
    <t>Note</t>
  </si>
  <si>
    <t>Tip broken, discolored</t>
  </si>
  <si>
    <t>tip broken</t>
  </si>
  <si>
    <t>1-3 section is destroyed</t>
  </si>
  <si>
    <t>OK1374_06</t>
  </si>
  <si>
    <t>IMG_20250910-160817.jpg</t>
  </si>
  <si>
    <t>IMG_20250910-161240.jpg</t>
  </si>
  <si>
    <t>IMG_20250910-161952.jpg</t>
  </si>
  <si>
    <t>OK1055_11</t>
  </si>
  <si>
    <t>IMG_20250912-131755.jpg</t>
  </si>
  <si>
    <t>IMG_20250912-132503.jpg</t>
  </si>
  <si>
    <t>OK1127_03</t>
  </si>
  <si>
    <t>IMG_20250912-134610.jpg</t>
  </si>
  <si>
    <t>IMG_20250912-135054.jpg</t>
  </si>
  <si>
    <t>IMG_20250912-135846.jpg</t>
  </si>
  <si>
    <t>Benbrook_06</t>
  </si>
  <si>
    <t>IMG_20250912-140515.jpg</t>
  </si>
  <si>
    <t>IMG_20250912-140925.jpg</t>
  </si>
  <si>
    <t>OK1055_08</t>
  </si>
  <si>
    <t>IMG_20250912-143044.jpg</t>
  </si>
  <si>
    <t>IMG_20250912-143813.jpg</t>
  </si>
  <si>
    <t>IMG_20250912-144631.jpg</t>
  </si>
  <si>
    <t>Little_River_IA_11</t>
  </si>
  <si>
    <t>IMG_20250912-145653.jpg</t>
  </si>
  <si>
    <t>IMG_20250912-150101.jpg</t>
  </si>
  <si>
    <t>IMG_20250912-150414.jpg</t>
  </si>
  <si>
    <t>OK1127_10</t>
  </si>
  <si>
    <t>IMG_20250912-151241.jpg</t>
  </si>
  <si>
    <t>IMG_20250912-151603.jpg</t>
  </si>
  <si>
    <t>IMG_20250912-152013.jpg</t>
  </si>
  <si>
    <t>Little_River_IA_12</t>
  </si>
  <si>
    <t>IMG_20250912-152801.jpg</t>
  </si>
  <si>
    <t>IMG_20250912-153346.jpg</t>
  </si>
  <si>
    <t>IMG_20250912-153658.jpg</t>
  </si>
  <si>
    <t>OK1801_10</t>
  </si>
  <si>
    <t>IMG_20250916-122838.jpg</t>
  </si>
  <si>
    <t>IMG_20250916-123806.jpg</t>
  </si>
  <si>
    <t>Benbrook_10</t>
  </si>
  <si>
    <t>IMG_20250916-130253.jpg</t>
  </si>
  <si>
    <t>IMG_20250916-130803.jpg</t>
  </si>
  <si>
    <t>IMG_20250916-125508.jpg</t>
  </si>
  <si>
    <t>OK1063_06</t>
  </si>
  <si>
    <t>IMG_20250916-133119.jpg</t>
  </si>
  <si>
    <t>IMG_20250916-131945.jpg</t>
  </si>
  <si>
    <t>IMG_20250916-133347.jpg</t>
  </si>
  <si>
    <t>OK1801_06</t>
  </si>
  <si>
    <t>Lauren</t>
  </si>
  <si>
    <t>IMG_20250916-142307.jpg</t>
  </si>
  <si>
    <t>IMG_20250916-141422.jpg</t>
  </si>
  <si>
    <t>IMG_20250916-135521.jpg</t>
  </si>
  <si>
    <t>Stampede_16</t>
  </si>
  <si>
    <t>IMG_20250916-143725.jpg</t>
  </si>
  <si>
    <t>IMG_20250916-144423.jpg</t>
  </si>
  <si>
    <t>IMG_20250916-145438.jpg</t>
  </si>
  <si>
    <t>KZ04_02</t>
  </si>
  <si>
    <t>IMG_20250916-150711.jpg</t>
  </si>
  <si>
    <t>IMG_20250916-151444.jpg</t>
  </si>
  <si>
    <t>IMG_20250916-152714.jpg</t>
  </si>
  <si>
    <t>KZ04_11</t>
  </si>
  <si>
    <t>IMG_20250917-133054.jpg</t>
  </si>
  <si>
    <t>IMG_20250917-134318.jpg</t>
  </si>
  <si>
    <t>IMG_20250917-133741.jpg</t>
  </si>
  <si>
    <t>Little_River_IA_04</t>
  </si>
  <si>
    <t>IMG_20250917-135505.jpg</t>
  </si>
  <si>
    <t>IMG_20250917-140002.jpg</t>
  </si>
  <si>
    <t>IMG_20250917-140459.jpg</t>
  </si>
  <si>
    <t>OK1374_11</t>
  </si>
  <si>
    <t>IMG_20250917-141241.jpg</t>
  </si>
  <si>
    <t>IMG_20250917-141619.jpg</t>
  </si>
  <si>
    <t>IMG_20250917-142236.jpg</t>
  </si>
  <si>
    <t>Benbrook_12</t>
  </si>
  <si>
    <t>IMG_20250917-143023.jpg</t>
  </si>
  <si>
    <t>IMG_20250917-143706.jpg</t>
  </si>
  <si>
    <t>Little_River_IA_14</t>
  </si>
  <si>
    <t>IMG_20250917-145335.jpg</t>
  </si>
  <si>
    <t>IMG_20250917-145935.jpg</t>
  </si>
  <si>
    <t>IMG_20250917-150419.jpg</t>
  </si>
  <si>
    <t>OK1374_09</t>
  </si>
  <si>
    <t>IMG_20250917-151328.jpg</t>
  </si>
  <si>
    <t>IMG_20250917-151735.jpg</t>
  </si>
  <si>
    <t>IMG_20250917-152301.jpg</t>
  </si>
  <si>
    <t>OK1951_15</t>
  </si>
  <si>
    <t>IMG_20250917-153353.jpg</t>
  </si>
  <si>
    <t>IMG_20250917-153919.jpg</t>
  </si>
  <si>
    <t>IMG_20250917-154306.jpg</t>
  </si>
  <si>
    <t>OK1374_04</t>
  </si>
  <si>
    <t>OK1951_11</t>
  </si>
  <si>
    <t>OK1127_01</t>
  </si>
  <si>
    <t>OK1424_05</t>
  </si>
  <si>
    <t>IMG_20250912-133214.jpg</t>
  </si>
  <si>
    <t>IMG_20250916-123435.jpg</t>
  </si>
  <si>
    <t>IMG_20250912-141332.jpg</t>
  </si>
  <si>
    <t>IMG_20250917-144425.jpg</t>
  </si>
  <si>
    <t>Benbrook_06_basal_4X.JPG</t>
  </si>
  <si>
    <t>Benbrook_06_distal_4X.JPG</t>
  </si>
  <si>
    <t>Benbrook_06_middle_4X.JPG</t>
  </si>
  <si>
    <t>Benbrook_10_basal_4X.JPG</t>
  </si>
  <si>
    <t>Benbrook_10_distal_4X.JPG</t>
  </si>
  <si>
    <t>Benbrook_10_middle_4X.JPG</t>
  </si>
  <si>
    <t>Benbrook_12_basal_4X.JPG</t>
  </si>
  <si>
    <t>Benbrook_12_distal_2X.JPG</t>
  </si>
  <si>
    <t>Benbrook_12_middle_4X.JPG</t>
  </si>
  <si>
    <t>KZ04_02_basal_4X.JPG</t>
  </si>
  <si>
    <t>KZ04_02_distal_4X.JPG</t>
  </si>
  <si>
    <t>KZ04_02_middle_4X.JPG</t>
  </si>
  <si>
    <t>KZ04_11_basal_2X.JPG</t>
  </si>
  <si>
    <t>KZ04_11_distal_2X.JPG</t>
  </si>
  <si>
    <t>KZ04_11_middle_2X.JPG</t>
  </si>
  <si>
    <t>Little_River_IA_04_basal_2X.JPG</t>
  </si>
  <si>
    <t>Little_River_IA_04_distal_4X.JPG</t>
  </si>
  <si>
    <t>Little_River_IA_04_middle_4X.JPG</t>
  </si>
  <si>
    <t>Little_River_IA_11_basal_4X.JPG</t>
  </si>
  <si>
    <t>Little_River_IA_11_distal_4X.JPG</t>
  </si>
  <si>
    <t>Little_River_IA_11_middle_4X.JPG</t>
  </si>
  <si>
    <t>Little_River_IA_12_basal_4X.JPG</t>
  </si>
  <si>
    <t>Little_River_IA_12_distal_4X.JPG</t>
  </si>
  <si>
    <t>Little_River_IA_12_middle_4X.JPG</t>
  </si>
  <si>
    <t>Little_River_IA_14_basal_4X.JPG</t>
  </si>
  <si>
    <t>Little_River_IA_14_distal_4X.JPG</t>
  </si>
  <si>
    <t>Little_River_IA_14_middle_4X.JPG</t>
  </si>
  <si>
    <t>OK1055_08_basal_4X.JPG</t>
  </si>
  <si>
    <t>OK1055_08_distal_4X.JPG</t>
  </si>
  <si>
    <t>OK1055_08_middle_4X.JPG</t>
  </si>
  <si>
    <t>OK1055_11_basal_2X.JPG</t>
  </si>
  <si>
    <t>OK1055_11_distal_4X.JPG</t>
  </si>
  <si>
    <t>OK1055_11_middle_4X.JPG</t>
  </si>
  <si>
    <t>OK1063_06_basal_4X.JPG</t>
  </si>
  <si>
    <t>OK1063_06_distal_4X.JPG</t>
  </si>
  <si>
    <t>OK1063_06_middle_4X.JPG</t>
  </si>
  <si>
    <t>OK1127_03_basal_4X.JPG</t>
  </si>
  <si>
    <t>OK1127_03_distal_4X.JPG</t>
  </si>
  <si>
    <t>OK1127_03_middle_4X.JPG</t>
  </si>
  <si>
    <t>OK1127_10_basal_4X.JPG</t>
  </si>
  <si>
    <t>OK1127_10_distal_4X.JPG</t>
  </si>
  <si>
    <t>OK1127_10_middle_4X.JPG</t>
  </si>
  <si>
    <t>OK1374_06_basal_4X.JPG</t>
  </si>
  <si>
    <t>OK1374_06_distal_4X.JPG</t>
  </si>
  <si>
    <t>OK1374_06_middle_4X.JPG</t>
  </si>
  <si>
    <t>OK1374_09_basal_4X.JPG</t>
  </si>
  <si>
    <t>OK1374_09_distal_4X.JPG</t>
  </si>
  <si>
    <t>OK1374_09_middle_4X.JPG</t>
  </si>
  <si>
    <t>OK1374_11_basal_4X.JPG</t>
  </si>
  <si>
    <t>OK1374_11_distal_4X.JPG</t>
  </si>
  <si>
    <t>OK1374_11_middle_4X.JPG</t>
  </si>
  <si>
    <t>OK1801_06_basal_4X.JPG</t>
  </si>
  <si>
    <t>OK1801_06_distal_4X.JPG</t>
  </si>
  <si>
    <t>OK1801_06_middle_4X.JPG</t>
  </si>
  <si>
    <t>OK1801_10_basal_4X.JPG</t>
  </si>
  <si>
    <t>OK1801_10_distal_4X.JPG</t>
  </si>
  <si>
    <t>OK1801_10_middle_4X.JPG</t>
  </si>
  <si>
    <t>OK1951_15_basal_4X.JPG</t>
  </si>
  <si>
    <t>OK1951_15_distal_4X.JPG</t>
  </si>
  <si>
    <t>OK1951_15_middle_4X.JPG</t>
  </si>
  <si>
    <t>Stampede_16_basal_4X.JPG</t>
  </si>
  <si>
    <t>Stampede_16_distal_4X.JPG</t>
  </si>
  <si>
    <t>Stampede_16_middle_4X.JPG</t>
  </si>
  <si>
    <t>IMG_20250919-131746.jpg</t>
  </si>
  <si>
    <t>IMG_20250919-133727.jpg</t>
  </si>
  <si>
    <t>IMG_20250919-134706.jpg</t>
  </si>
  <si>
    <t>IMG_20250919-135055.jpg</t>
  </si>
  <si>
    <t>IMG_20250919-140023.jpg</t>
  </si>
  <si>
    <t>IMG_20250919-140444.jpg</t>
  </si>
  <si>
    <t>IMG_20250919-141056.jpg</t>
  </si>
  <si>
    <t>IMG_20250919-141739.jpg</t>
  </si>
  <si>
    <t>IMG_20250919-142138.jpg</t>
  </si>
  <si>
    <t>IMG_20250919-142523.jpg</t>
  </si>
  <si>
    <t>KZ04_15</t>
  </si>
  <si>
    <t>IMG_20250919-144942.jpg</t>
  </si>
  <si>
    <t>IMG_20250919-145338.jpg</t>
  </si>
  <si>
    <t>IMG_20250919-145739.jpg</t>
  </si>
  <si>
    <t>KZ04_10</t>
  </si>
  <si>
    <t>IMG_20250919-151025.jpg</t>
  </si>
  <si>
    <t>IMG_20250919-151840.jpg</t>
  </si>
  <si>
    <t>IMG_20250919-152244.jpg</t>
  </si>
  <si>
    <t>OK1127_09</t>
  </si>
  <si>
    <t>IMG_20250919-153048.jpg</t>
  </si>
  <si>
    <t>IMG_20250919-153543.jpg</t>
  </si>
  <si>
    <t>IMG_20250919-154712.jpg</t>
  </si>
  <si>
    <t>OK1801_09</t>
  </si>
  <si>
    <t>IMG_20250919-155404.jpg</t>
  </si>
  <si>
    <t>IMG_20250919-155758.jpg</t>
  </si>
  <si>
    <t>IMG_20250919-160134.jpg</t>
  </si>
  <si>
    <t>Stampede_11</t>
  </si>
  <si>
    <t>IMG_20250919-161247.jpg</t>
  </si>
  <si>
    <t>IMG_20250919-161649.jpg</t>
  </si>
  <si>
    <t>IMG_20250919-161934.jpg</t>
  </si>
  <si>
    <t>Benbrook_15</t>
  </si>
  <si>
    <t>IMG_20250919-162659.jpg</t>
  </si>
  <si>
    <t>IMG_20250919-163106.jpg</t>
  </si>
  <si>
    <t>IMG_20250919-164121.jpg</t>
  </si>
  <si>
    <t>Eddy_10</t>
  </si>
  <si>
    <t>IMG_20250923-125032.jpg</t>
  </si>
  <si>
    <t>IMG_20250923-125727.jpg</t>
  </si>
  <si>
    <t>IMG_20250923-130515.jpg</t>
  </si>
  <si>
    <t>OK1374_12</t>
  </si>
  <si>
    <t>IMG_20250923-131751.jpg</t>
  </si>
  <si>
    <t>IMG_20250923-132939.jpg</t>
  </si>
  <si>
    <t>IMG_20250923-133456.jpg</t>
  </si>
  <si>
    <t>Benbrook_13</t>
  </si>
  <si>
    <t>IMG_20250923-135701.jpg</t>
  </si>
  <si>
    <t>IMG_20250923-140233.jpg</t>
  </si>
  <si>
    <t>IMG_20250923-140841.jpg</t>
  </si>
  <si>
    <t>OK1801_01</t>
  </si>
  <si>
    <t>IMG_20250923-142034.jpg</t>
  </si>
  <si>
    <t>IMG_20250923-142708.jpg</t>
  </si>
  <si>
    <t>IMG_20250923-143417.jpg</t>
  </si>
  <si>
    <t>OK1055_13</t>
  </si>
  <si>
    <t>IMG_20250923-161057.jpg</t>
  </si>
  <si>
    <t>IMG_20250923-161524.jpg</t>
  </si>
  <si>
    <t>IMG_20250923-161909.jpg</t>
  </si>
  <si>
    <t>OK1063_09</t>
  </si>
  <si>
    <t>IMG_20250923-162932.jpg</t>
  </si>
  <si>
    <t>IMG_20250923-163237.jpg</t>
  </si>
  <si>
    <t>IMG_20250923-163823.jpg</t>
  </si>
  <si>
    <t>Little_River_IA_16</t>
  </si>
  <si>
    <t>scale for 2x should be 2x-100</t>
  </si>
  <si>
    <t>IMG_20250924-133731.jpg</t>
  </si>
  <si>
    <t>IMG_20250924-134909.jpg</t>
  </si>
  <si>
    <t>Mesquite_15</t>
  </si>
  <si>
    <t>IMG_20250924-141149.jpg</t>
  </si>
  <si>
    <t>IMG_20250924-140543.jpg</t>
  </si>
  <si>
    <t>OK1801_12</t>
  </si>
  <si>
    <t>IMG_20250924-142311.jpg</t>
  </si>
  <si>
    <t>IMG_20250924-143001.jpg</t>
  </si>
  <si>
    <t>IMG_20250924-143340.jpg</t>
  </si>
  <si>
    <t>OK1063_15</t>
  </si>
  <si>
    <t>IMG_20250924-143938.jpg</t>
  </si>
  <si>
    <t>IMG_20250924-144402.jpg</t>
  </si>
  <si>
    <t>Benbrook_16</t>
  </si>
  <si>
    <t>IMG_20250924-145613.jpg</t>
  </si>
  <si>
    <t>IMG_20250924-145947.jpg</t>
  </si>
  <si>
    <t>IMG_20250924-150337.jpg</t>
  </si>
  <si>
    <t>KZ04_16</t>
  </si>
  <si>
    <t>IMG_20250924-151223.jpg</t>
  </si>
  <si>
    <t>IMG_20250924-151828.jpg</t>
  </si>
  <si>
    <t>IMG_20250924-152312.jpg</t>
  </si>
  <si>
    <t>Benbrook_14</t>
  </si>
  <si>
    <t>IMG_20250924-153359.jpg</t>
  </si>
  <si>
    <t>IMG_20250924-153647.jpg</t>
  </si>
  <si>
    <t>IMG_20250924-154137.jpg</t>
  </si>
  <si>
    <t>KZ04_07</t>
  </si>
  <si>
    <t>distal scale should be 4x-100</t>
  </si>
  <si>
    <t>IMG_20250924-154812.jpg</t>
  </si>
  <si>
    <t>IMG_20250924-155226.jpg</t>
  </si>
  <si>
    <t>IMG_20250924-155626.jpg</t>
  </si>
  <si>
    <t>OK1063_16</t>
  </si>
  <si>
    <t>IMG_20250924-160616.jpg</t>
  </si>
  <si>
    <t>IMG_20250924-160934.jpg</t>
  </si>
  <si>
    <t>OK1055_16</t>
  </si>
  <si>
    <t>IMG_20250924-161731.jpg</t>
  </si>
  <si>
    <t>IMG_20250924-162059.jpg</t>
  </si>
  <si>
    <t>IMG_20250924-162345.jpg</t>
  </si>
  <si>
    <t>Little_River_IA_15</t>
  </si>
  <si>
    <t>IMG_20250924-162846.jpg</t>
  </si>
  <si>
    <t>IMG_20250924-163213.jpg</t>
  </si>
  <si>
    <t>IMG_20250924-163459.jpg</t>
  </si>
  <si>
    <t>OK1424_15</t>
  </si>
  <si>
    <t>IMG_20250924-163909.jpg</t>
  </si>
  <si>
    <t>IMG_20250924-164133.jpg</t>
  </si>
  <si>
    <t>IMG_20250924-164400.jpg</t>
  </si>
  <si>
    <t>OK1374_13</t>
  </si>
  <si>
    <t>IMG_20250925-125638.jpg</t>
  </si>
  <si>
    <t>IMG_20250925-130043.jpg</t>
  </si>
  <si>
    <t>IMG_20250925-130539.jpg</t>
  </si>
  <si>
    <t>OK1424_12</t>
  </si>
  <si>
    <t>IMG_20250925-131801.jpg</t>
  </si>
  <si>
    <t>IMG_20250925-132307.jpg</t>
  </si>
  <si>
    <t>IMG_20250925-132815.jpg</t>
  </si>
  <si>
    <t>Benbrook_09</t>
  </si>
  <si>
    <t>IMG_20250925-133931.jpg</t>
  </si>
  <si>
    <t>IMG_20250925-134306.jpg</t>
  </si>
  <si>
    <t>IMG_20250925-134851.jpg</t>
  </si>
  <si>
    <t>OK1424_10</t>
  </si>
  <si>
    <t>IMG_20250925-140652.jpg</t>
  </si>
  <si>
    <t>IMG_20250925-141142.jpg</t>
  </si>
  <si>
    <t>IMG_20250925-141525.jpg</t>
  </si>
  <si>
    <t>OK1063_13</t>
  </si>
  <si>
    <t>IMG_20250925-142422.jpg</t>
  </si>
  <si>
    <t>IMG_20250925-143049.jpg</t>
  </si>
  <si>
    <t>IMG_20250925-143412.jpg</t>
  </si>
  <si>
    <t>Benbrook_05</t>
  </si>
  <si>
    <t>IMG_20250926-131211.jpg</t>
  </si>
  <si>
    <t>IMG_20250926-131627.jpg</t>
  </si>
  <si>
    <t>IMG_20250926-132025.jpg</t>
  </si>
  <si>
    <t>OK1801_13</t>
  </si>
  <si>
    <t>IMG_20250926-133110.jpg</t>
  </si>
  <si>
    <t>IMG_20250926-133613.jpg</t>
  </si>
  <si>
    <t>IMG_20250926-134007.jpg</t>
  </si>
  <si>
    <t>OK1063_10</t>
  </si>
  <si>
    <t>IMG_20250926-134645.jpg</t>
  </si>
  <si>
    <t>IMG_20250926-135255.jpg</t>
  </si>
  <si>
    <t>IMG_20250926-135546.jpg</t>
  </si>
  <si>
    <t>OK1063_11</t>
  </si>
  <si>
    <t>IMG_20250926-140141.jpg</t>
  </si>
  <si>
    <t>IMG_20250926-140600.jpg</t>
  </si>
  <si>
    <t>IMG_20250926-141126.jpg</t>
  </si>
  <si>
    <t>OK1801_15</t>
  </si>
  <si>
    <t>IMG_20250926-141809.jpg</t>
  </si>
  <si>
    <t>IMG_20250926-142146.jpg</t>
  </si>
  <si>
    <t>IMG_20250926-142838.jpg</t>
  </si>
  <si>
    <t>Stampede_14</t>
  </si>
  <si>
    <t>IMG_20250926-143917.jpg</t>
  </si>
  <si>
    <t>IMG_20250926-144221.jpg</t>
  </si>
  <si>
    <t>IMG_20250926-144545.jpg</t>
  </si>
  <si>
    <t>OK1374_16</t>
  </si>
  <si>
    <t>IMG_20250926-145127.jpg</t>
  </si>
  <si>
    <t>OK1055_14</t>
  </si>
  <si>
    <t>IMG_20250926-151014.jpg</t>
  </si>
  <si>
    <t>IMG_20250926-151406.jpg</t>
  </si>
  <si>
    <t>IMG_20250926-151904.jpg</t>
  </si>
  <si>
    <t>OK1055_15</t>
  </si>
  <si>
    <t>IMG_20251001-131451.jpg</t>
  </si>
  <si>
    <t>IMG_20251001-132515.jpg</t>
  </si>
  <si>
    <t>OK1374_10</t>
  </si>
  <si>
    <t>IMG_20251001-133623.jpg</t>
  </si>
  <si>
    <t>IMG_20251001-134041.jpg</t>
  </si>
  <si>
    <t>IMG_20251001-134423.jpg</t>
  </si>
  <si>
    <t>OK1374_02</t>
  </si>
  <si>
    <t>IMG_20251001-135340.jpg</t>
  </si>
  <si>
    <t>IMG_20251001-140058.jpg</t>
  </si>
  <si>
    <t>IMG_20251001-140616.jpg</t>
  </si>
  <si>
    <t>KZ04_13</t>
  </si>
  <si>
    <t>IMG_20251001-141839.jpg</t>
  </si>
  <si>
    <t>IMG_20251001-142135.jpg</t>
  </si>
  <si>
    <t>IMG_20251001-142839.jpg</t>
  </si>
  <si>
    <t>Mesquite_11</t>
  </si>
  <si>
    <t>IMG_20251001-143628.jpg</t>
  </si>
  <si>
    <t>IMG_20251001-144634.jpg</t>
  </si>
  <si>
    <t>IMG_20251001-144524.jpg</t>
  </si>
  <si>
    <t>Mesquite_12</t>
  </si>
  <si>
    <t>IMG_20251001-145807.jpg</t>
  </si>
  <si>
    <t>IMG_20251001-150248.jpg</t>
  </si>
  <si>
    <t>OK1424_16</t>
  </si>
  <si>
    <t>Eddy_09</t>
  </si>
  <si>
    <t>OK1127_13</t>
  </si>
  <si>
    <t>OK1127_15</t>
  </si>
  <si>
    <t>OK1801_04</t>
  </si>
  <si>
    <t>IMG_20250919-132048.jpg</t>
  </si>
  <si>
    <t>IMG_20250924-134443.jpg</t>
  </si>
  <si>
    <t>IMG_20250919-132850.jpg</t>
  </si>
  <si>
    <t>IMG_20250924-141757.jpg</t>
  </si>
  <si>
    <t>IMG_20250924-144704.jpg</t>
  </si>
  <si>
    <t>IMG_20250924-161252.jpg</t>
  </si>
  <si>
    <t>IMG_20250926-145500.jpg</t>
  </si>
  <si>
    <t>IMG_20250926-150326.jpg</t>
  </si>
  <si>
    <t>IMG_20251001-131909.jpg</t>
  </si>
  <si>
    <t>IMG_20251001-145357.jpg</t>
  </si>
  <si>
    <t>Benbrook_05_basal_4X.JPG</t>
  </si>
  <si>
    <t>Benbrook_05_distal_4X.JPG</t>
  </si>
  <si>
    <t>Benbrook_05_middle_4X.JPG</t>
  </si>
  <si>
    <t>Benbrook_09_basal_4X.JPG</t>
  </si>
  <si>
    <t>Benbrook_09_distal_4X.JPG</t>
  </si>
  <si>
    <t>Benbrook_09_middle_4X.JPG</t>
  </si>
  <si>
    <t>Benbrook_13_basal_4X.JPG</t>
  </si>
  <si>
    <t>Benbrook_13_distal_4X.JPG</t>
  </si>
  <si>
    <t>Benbrook_13_middle_4X.JPG</t>
  </si>
  <si>
    <t>Benbrook_14_basal_4X.JPG</t>
  </si>
  <si>
    <t>Benbrook_14_distal_4X.JPG</t>
  </si>
  <si>
    <t>Benbrook_14_middle_4X.JPG</t>
  </si>
  <si>
    <t>Benbrook_15_basal_4X.JPG</t>
  </si>
  <si>
    <t>Benbrook_15_distal_4X.JPG</t>
  </si>
  <si>
    <t>Benbrook_15_middle_4X.JPG</t>
  </si>
  <si>
    <t>Benbrook_16_basal_4X.JPG</t>
  </si>
  <si>
    <t>Benbrook_16_distal_4X.JPG</t>
  </si>
  <si>
    <t>Benbrook_16_middle_4X.JPG</t>
  </si>
  <si>
    <t>Eddy_10_basal_4X.JPG</t>
  </si>
  <si>
    <t>Eddy_10_distal_4X.JPG</t>
  </si>
  <si>
    <t>Eddy_10_middle_4X.JPG</t>
  </si>
  <si>
    <t>KZ04_07_basal_4X.JPG</t>
  </si>
  <si>
    <t>KZ04_07_distal_4X.JPG</t>
  </si>
  <si>
    <t>KZ04_07_middle_4X.JPG</t>
  </si>
  <si>
    <t>KZ04_10_basal_2X.JPG</t>
  </si>
  <si>
    <t>KZ04_10_distal_2X.JPG</t>
  </si>
  <si>
    <t>KZ04_10_middle_2X.JPG</t>
  </si>
  <si>
    <t>KZ04_13_basal_4X.JPG</t>
  </si>
  <si>
    <t>KZ04_13_distal_4X.JPG</t>
  </si>
  <si>
    <t>KZ04_13_middle_4X.JPG</t>
  </si>
  <si>
    <t>KZ04_15_basal_4X.JPG</t>
  </si>
  <si>
    <t>KZ04_15_distal_2X.JPG</t>
  </si>
  <si>
    <t>KZ04_15_middle_4X.JPG</t>
  </si>
  <si>
    <t>KZ04_16_basal_2X.JPG</t>
  </si>
  <si>
    <t>KZ04_16_distal_4X.JPG</t>
  </si>
  <si>
    <t>KZ04_16_middle_2X.JPG</t>
  </si>
  <si>
    <t>Little_River_IA_15_basal_4X.JPG</t>
  </si>
  <si>
    <t>Little_River_IA_15_distal_4X.JPG</t>
  </si>
  <si>
    <t>Little_River_IA_15_middle_4X.JPG</t>
  </si>
  <si>
    <t>Little_River_IA_16_basal_2X.JPG</t>
  </si>
  <si>
    <t>Little_River_IA_16_distal_4X.JPG</t>
  </si>
  <si>
    <t>Little_River_IA_16_middle_4X.JPG</t>
  </si>
  <si>
    <t>Mesquite_11_basal_4X.JPG</t>
  </si>
  <si>
    <t>Mesquite_11_distal_4X.JPG</t>
  </si>
  <si>
    <t>Mesquite_11_middle_4X.JPG</t>
  </si>
  <si>
    <t>Mesquite_12_basal_4X.JPG</t>
  </si>
  <si>
    <t>Mesquite_12_distal_4X.JPG</t>
  </si>
  <si>
    <t>Mesquite_12_middle_4X.JPG</t>
  </si>
  <si>
    <t>Mesquite_15_basal_4X.JPG</t>
  </si>
  <si>
    <t>Mesquite_15_distal_2X.JPG</t>
  </si>
  <si>
    <t>Mesquite_15_middle_2X.JPG</t>
  </si>
  <si>
    <t>OK1055_12_basal_4X.JPG</t>
  </si>
  <si>
    <t>OK1055_12_distal_4X.JPG</t>
  </si>
  <si>
    <t>OK1055_12_middle_4X.JPG</t>
  </si>
  <si>
    <t>OK1055_13_basal_4X.JPG</t>
  </si>
  <si>
    <t>OK1055_13_distal_4X.JPG</t>
  </si>
  <si>
    <t>OK1055_13_middle_4X.JPG</t>
  </si>
  <si>
    <t>OK1055_14_basal_4X.JPG</t>
  </si>
  <si>
    <t>OK1055_14_distal_4X.JPG</t>
  </si>
  <si>
    <t>OK1055_14_middle_4X.JPG</t>
  </si>
  <si>
    <t>OK1055_15_basal_4X.JPG</t>
  </si>
  <si>
    <t>OK1055_15_distal_4X.JPG</t>
  </si>
  <si>
    <t>OK1055_15_middle_4X.JPG</t>
  </si>
  <si>
    <t>OK1055_16_basal_4X.JPG</t>
  </si>
  <si>
    <t>OK1055_16_distal_4X.JPG</t>
  </si>
  <si>
    <t>OK1055_16_middle_4X.JPG</t>
  </si>
  <si>
    <t>OK1063_09_basal_4X.JPG</t>
  </si>
  <si>
    <t>OK1063_09_distal_4X.JPG</t>
  </si>
  <si>
    <t>OK1063_09_middle_4X.JPG</t>
  </si>
  <si>
    <t>OK1063_10_basal_4X.JPG</t>
  </si>
  <si>
    <t>OK1063_10_distal_4X.JPG</t>
  </si>
  <si>
    <t>OK1063_10_middle_4X.JPG</t>
  </si>
  <si>
    <t>OK1063_11_basal_4X.JPG</t>
  </si>
  <si>
    <t>OK1063_11_distal_4X.JPG</t>
  </si>
  <si>
    <t>OK1063_11_middle_4X.JPG</t>
  </si>
  <si>
    <t>OK1063_13_basal_4X.JPG</t>
  </si>
  <si>
    <t>OK1063_13_distal_4X.JPG</t>
  </si>
  <si>
    <t>OK1063_13_middle_4X.JPG</t>
  </si>
  <si>
    <t>OK1063_15_basal_4X.JPG</t>
  </si>
  <si>
    <t>OK1063_15_distal_4X.JPG</t>
  </si>
  <si>
    <t>OK1063_15_middle_4X.JPG</t>
  </si>
  <si>
    <t>OK1063_16_distal_4X.JPG</t>
  </si>
  <si>
    <t>OK1063_16_middle_4X.JPG</t>
  </si>
  <si>
    <t>OK1127_01_basal_4X.JPG</t>
  </si>
  <si>
    <t>OK1127_01_distal_4X.JPG</t>
  </si>
  <si>
    <t>OK1127_01_middle_4X.JPG</t>
  </si>
  <si>
    <t>OK1127_09_basal_4X.JPG</t>
  </si>
  <si>
    <t>OK1127_09_distal_2X.JPG</t>
  </si>
  <si>
    <t>OK1127_09_middle_2X.JPG</t>
  </si>
  <si>
    <t>OK1374_02_basal_4X.JPG</t>
  </si>
  <si>
    <t>OK1374_02_distal_4X.JPG</t>
  </si>
  <si>
    <t>OK1374_02_middle_4X.JPG</t>
  </si>
  <si>
    <t>OK1374_04_basal_4X.JPG</t>
  </si>
  <si>
    <t>OK1374_04_distal_4X.JPG</t>
  </si>
  <si>
    <t>OK1374_04_middle_4X.JPG</t>
  </si>
  <si>
    <t>OK1374_10_basal_4X.JPG</t>
  </si>
  <si>
    <t>OK1374_10_distal_4X.JPG</t>
  </si>
  <si>
    <t>OK1374_10_middle_4X.JPG</t>
  </si>
  <si>
    <t>OK1374_12_basal_4X.JPG</t>
  </si>
  <si>
    <t>OK1374_12_distal_4X.JPG</t>
  </si>
  <si>
    <t>OK1374_12_middle_4X.JPG</t>
  </si>
  <si>
    <t>OK1374_13_basal_4X.JPG</t>
  </si>
  <si>
    <t>OK1374_13_distal_4X.JPG</t>
  </si>
  <si>
    <t>OK1374_13_middle_4X.JPG</t>
  </si>
  <si>
    <t>OK1374_16_basal_2X.JPG</t>
  </si>
  <si>
    <t>OK1374_16_distal_4X.JPG</t>
  </si>
  <si>
    <t>OK1374_16_middle_4X.JPG</t>
  </si>
  <si>
    <t>OK1424_05_basal_4X.JPG</t>
  </si>
  <si>
    <t>OK1424_05_distal_4X.JPG</t>
  </si>
  <si>
    <t>OK1424_05_middle_4X.JPG</t>
  </si>
  <si>
    <t>OK1424_10_basal_4X.JPG</t>
  </si>
  <si>
    <t>OK1424_10_distal_4X.JPG</t>
  </si>
  <si>
    <t>OK1424_10_middle_4X.JPG</t>
  </si>
  <si>
    <t>OK1424_12_basal_4X.JPG</t>
  </si>
  <si>
    <t>OK1424_12_distal_4X.JPG</t>
  </si>
  <si>
    <t>OK1424_12_middle_4X.JPG</t>
  </si>
  <si>
    <t>OK1424_15_basal_4X.JPG</t>
  </si>
  <si>
    <t>OK1424_15_distal_4X.JPG</t>
  </si>
  <si>
    <t>OK1424_15_middle_4X.JPG</t>
  </si>
  <si>
    <t>OK1801_01_basal_4X.JPG</t>
  </si>
  <si>
    <t>OK1801_01_distal_4X.JPG</t>
  </si>
  <si>
    <t>OK1801_01_middle_4X.JPG</t>
  </si>
  <si>
    <t>OK1801_09_basal_4X.JPG</t>
  </si>
  <si>
    <t>OK1801_09_distal_4X.JPG</t>
  </si>
  <si>
    <t>OK1801_09_middle_4X.JPG</t>
  </si>
  <si>
    <t>OK1801_12_basal_4X.JPG</t>
  </si>
  <si>
    <t>OK1801_12_distal_4X.JPG</t>
  </si>
  <si>
    <t>OK1801_12_middle_4X.JPG</t>
  </si>
  <si>
    <t>OK1801_13_basal_4X.JPG</t>
  </si>
  <si>
    <t>OK1801_13_distal_4X.JPG</t>
  </si>
  <si>
    <t>OK1801_13_middle_4X.JPG</t>
  </si>
  <si>
    <t>OK1801_15_basal_4X.JPG</t>
  </si>
  <si>
    <t>OK1801_15_distal_4X.JPG</t>
  </si>
  <si>
    <t>OK1801_15_middle_4X.JPG</t>
  </si>
  <si>
    <t>OK1951_11_basal_4X.JPG</t>
  </si>
  <si>
    <t>OK1951_11_distal_4X.JPG</t>
  </si>
  <si>
    <t>OK1951_11_middle_4X.JPG</t>
  </si>
  <si>
    <t>Stampede_11_basal_4X.JPG</t>
  </si>
  <si>
    <t>Stampede_11_distal_4X.JPG</t>
  </si>
  <si>
    <t>Stampede_11_middle_4X.JPG</t>
  </si>
  <si>
    <t>Stampede_14_basal_4X.JPG</t>
  </si>
  <si>
    <t>Stampede_14_distal_4X.JPG</t>
  </si>
  <si>
    <t>Stampede_14_middle_4X.JPG</t>
  </si>
  <si>
    <t>OK1063_16_basal_2X.JPG</t>
  </si>
  <si>
    <t>IMG_20251003-134602.jpg</t>
  </si>
  <si>
    <t>IMG_20251003-135034.jpg</t>
  </si>
  <si>
    <t>IMG_20251003-135529.jpg</t>
  </si>
  <si>
    <t>IMG_20251003-140319.jpg</t>
  </si>
  <si>
    <t>IMG_20251003-140647.jpg</t>
  </si>
  <si>
    <t>IMG_20251003-141351.jpg</t>
  </si>
  <si>
    <t>IMG_20251003-141825.jpg</t>
  </si>
  <si>
    <t>IMG_20251003-142236.jpg</t>
  </si>
  <si>
    <t>IMG_20251003-142807.jpg</t>
  </si>
  <si>
    <t>IMG_20251003-143416.jpg</t>
  </si>
  <si>
    <t>IMG_20251003-144154.jpg</t>
  </si>
  <si>
    <t>IMG_20251003-144824.jpg</t>
  </si>
  <si>
    <t>IMG_20251003-145546.jpg</t>
  </si>
  <si>
    <t>IMG_20251003-150324.jpg</t>
  </si>
  <si>
    <t>Stampede_07</t>
  </si>
  <si>
    <t>IMG_20251010-151621.jpg</t>
  </si>
  <si>
    <t>IMG_20251010-152256.jpg</t>
  </si>
  <si>
    <t>IMG_20251010-152913.jpg</t>
  </si>
  <si>
    <t>OK1127_08</t>
  </si>
  <si>
    <t>IMG_20251010-153548.jpg</t>
  </si>
  <si>
    <t>IMG_20251010-154014.jpg</t>
  </si>
  <si>
    <t>IMG_20251010-154258.jpg</t>
  </si>
  <si>
    <t>OK1801_05</t>
  </si>
  <si>
    <t>IMG_20251010-155003.jpg</t>
  </si>
  <si>
    <t>IMG_20251010-155303.jpg</t>
  </si>
  <si>
    <t>IMG_20251010-155638.jpg</t>
  </si>
  <si>
    <t>Mesquite_02</t>
  </si>
  <si>
    <t>IMG_20251010-160249.jpg</t>
  </si>
  <si>
    <t>IMG_20251010-160554.jpg</t>
  </si>
  <si>
    <t>IMG_20251010-160832.jpg</t>
  </si>
  <si>
    <t>OK1055_01</t>
  </si>
  <si>
    <t>IMG_20251010-161430.jpg</t>
  </si>
  <si>
    <t>IMG_20251010-162252.jpg</t>
  </si>
  <si>
    <t>IMG_20251010-162624.jpg</t>
  </si>
  <si>
    <t>OK1374_07</t>
  </si>
  <si>
    <t>IMG_20251010-163203.jpg</t>
  </si>
  <si>
    <t>IMG_20251010-163455.jpg</t>
  </si>
  <si>
    <t>IMG_20251010-163735.jpg</t>
  </si>
  <si>
    <t>Eddy_03</t>
  </si>
  <si>
    <t>IMG_20251010-164311.jpg</t>
  </si>
  <si>
    <t>IMG_20251010-164612.jpg</t>
  </si>
  <si>
    <t>IMG_20251010-165210.jpg</t>
  </si>
  <si>
    <t>Little_River_IA_05</t>
  </si>
  <si>
    <t>IMG_20251017-131415.jpg</t>
  </si>
  <si>
    <t>IMG_20251017-131819.jpg</t>
  </si>
  <si>
    <t>IMG_20251017-132400.jpg</t>
  </si>
  <si>
    <t>OK1063_12</t>
  </si>
  <si>
    <t>IMG_20251017-133042.jpg</t>
  </si>
  <si>
    <t>IMG_20251017-133752.jpg</t>
  </si>
  <si>
    <t>IMG_20251017-134206.jpg</t>
  </si>
  <si>
    <t>Mesquite_08</t>
  </si>
  <si>
    <t>IMG_20251017-134704.jpg</t>
  </si>
  <si>
    <t>IMG_20251017-135057.jpg</t>
  </si>
  <si>
    <t>IMG_20251017-135636.jpg</t>
  </si>
  <si>
    <t>Little_River_IA_01</t>
  </si>
  <si>
    <t>IMG_20251017-140800.jpg</t>
  </si>
  <si>
    <t>IMG_20251017-141133.jpg</t>
  </si>
  <si>
    <t>IMG_20251017-141649.jpg</t>
  </si>
  <si>
    <t>KZ04_08</t>
  </si>
  <si>
    <t>IMG_20251017-142457.jpg</t>
  </si>
  <si>
    <t>IMG_20251017-143135.jpg</t>
  </si>
  <si>
    <t>IMG_20251017-143436.jpg</t>
  </si>
  <si>
    <t>OK1127_06</t>
  </si>
  <si>
    <t>IMG_20251017-144248.jpg</t>
  </si>
  <si>
    <t>IMG_20251017-144708.jpg</t>
  </si>
  <si>
    <t>IMG_20251017-145142.jpg</t>
  </si>
  <si>
    <t>OK1055_02</t>
  </si>
  <si>
    <t>IMG_20251017-145809.jpg</t>
  </si>
  <si>
    <t>IMG_20251017-150704.jpg</t>
  </si>
  <si>
    <t>IMG_20251017-151420.jpg</t>
  </si>
  <si>
    <t>OK1801_03</t>
  </si>
  <si>
    <t>IMG_20251017-152414.jpg</t>
  </si>
  <si>
    <t>IMG_20251017-152631.jpg</t>
  </si>
  <si>
    <t>IMG_20251017-152926.jpg</t>
  </si>
  <si>
    <t>Benbrook_01</t>
  </si>
  <si>
    <t>IMG_20251022-130528.jpg</t>
  </si>
  <si>
    <t>IMG_20251022-131235.jpg</t>
  </si>
  <si>
    <t>IMG_20251022-131612.jpg</t>
  </si>
  <si>
    <t>Stampede_13</t>
  </si>
  <si>
    <t>IMG_20251022-132443.jpg</t>
  </si>
  <si>
    <t>IMG_20251022-132753.jpg</t>
  </si>
  <si>
    <t>IMG_20251022-133457.jpg</t>
  </si>
  <si>
    <t>OK1127_11</t>
  </si>
  <si>
    <t>IMG_20251022-134251.jpg</t>
  </si>
  <si>
    <t>IMG_20251022-134747.jpg</t>
  </si>
  <si>
    <t>IMG_20251022-135121.jpg</t>
  </si>
  <si>
    <t>OK1374_03</t>
  </si>
  <si>
    <t>IMG_20251022-140055.jpg</t>
  </si>
  <si>
    <t>IMG_20251022-140708.jpg</t>
  </si>
  <si>
    <t>IMG_20251022-141031.jpg</t>
  </si>
  <si>
    <t>OK1063_08</t>
  </si>
  <si>
    <t>IMG_20251022-142002.jpg</t>
  </si>
  <si>
    <t>IMG_20251022-142408.jpg</t>
  </si>
  <si>
    <t>IMG_20251022-142731.jpg</t>
  </si>
  <si>
    <t>OK1801_07</t>
  </si>
  <si>
    <t>IMG_20251022-143531.jpg</t>
  </si>
  <si>
    <t>IMG_20251022-143836.jpg</t>
  </si>
  <si>
    <t>IMG_20251022-144237.jpg</t>
  </si>
  <si>
    <t>OK1424_01</t>
  </si>
  <si>
    <t>IMG_20251022-144932.jpg</t>
  </si>
  <si>
    <t>IMG_20251022-145346.jpg</t>
  </si>
  <si>
    <t>IMG_20251022-145646.jpg</t>
  </si>
  <si>
    <t>OK1374_05</t>
  </si>
  <si>
    <t>IMG_20251022-150256.jpg</t>
  </si>
  <si>
    <t>IMG_20251022-151217.jpg</t>
  </si>
  <si>
    <t>IMG_20251022-151554.jpg</t>
  </si>
  <si>
    <t>Little_River_IA_03</t>
  </si>
  <si>
    <t>IMG_20251022-152203.jpg</t>
  </si>
  <si>
    <t>IMG_20251022-152550.jpg</t>
  </si>
  <si>
    <t>IMG_20251022-153252.jpg</t>
  </si>
  <si>
    <t>Stampede_08</t>
  </si>
  <si>
    <t>IMG_20251022-154520.jpg</t>
  </si>
  <si>
    <t>IMG_20251022-155008.jpg</t>
  </si>
  <si>
    <t>IMG_20251022-155319.jpg</t>
  </si>
  <si>
    <t>OK1951_07</t>
  </si>
  <si>
    <t>IMG_20251022-160204.jpg</t>
  </si>
  <si>
    <t>IMG_20251022-160605.jpg</t>
  </si>
  <si>
    <t>IMG_20251022-162232.jpg</t>
  </si>
  <si>
    <t>OK1424_08</t>
  </si>
  <si>
    <t>IMG_20251022-163133.jpg</t>
  </si>
  <si>
    <t>IMG_20251022-163407.jpg</t>
  </si>
  <si>
    <t>IMG_20251022-163755.jpg</t>
  </si>
  <si>
    <t>Little_River_IA_06</t>
  </si>
  <si>
    <t>IMG_20251024-131250.jpg</t>
  </si>
  <si>
    <t>IMG_20251024-132115.jpg</t>
  </si>
  <si>
    <t>IMG_20251024-132445.jpg</t>
  </si>
  <si>
    <t>OK1055_05</t>
  </si>
  <si>
    <t>IMG_20251024-133250.jpg</t>
  </si>
  <si>
    <t>IMG_20251024-133525.jpg</t>
  </si>
  <si>
    <t>IMG_20251024-133843.jpg</t>
  </si>
  <si>
    <t>OK1374_08</t>
  </si>
  <si>
    <t>IMG_20251024-134616.jpg</t>
  </si>
  <si>
    <t>IMG_20251024-135042.jpg</t>
  </si>
  <si>
    <t>IMG_20251024-135437.jpg</t>
  </si>
  <si>
    <t>OK1424_02</t>
  </si>
  <si>
    <t>IMG_20251024-140333.jpg</t>
  </si>
  <si>
    <t>IMG_20251024-140817.jpg</t>
  </si>
  <si>
    <t>IMG_20251024-141351.jpg</t>
  </si>
  <si>
    <t>OK1063_01</t>
  </si>
  <si>
    <t>IMG_20251024-142203.jpg</t>
  </si>
  <si>
    <t>IMG_20251024-142513.jpg</t>
  </si>
  <si>
    <t>IMG_20251024-142844.jpg</t>
  </si>
  <si>
    <t>Stampede_05</t>
  </si>
  <si>
    <t>IMG_20251024-143807.jpg</t>
  </si>
  <si>
    <t>IMG_20251024-144221.jpg</t>
  </si>
  <si>
    <t>IMG_20251024-144602.jpg</t>
  </si>
  <si>
    <t>Benbrook_08</t>
  </si>
  <si>
    <t>IMG_20251024-145334.jpg</t>
  </si>
  <si>
    <t>IMG_20251024-145757.jpg</t>
  </si>
  <si>
    <t>IMG_20251024-150149.jpg</t>
  </si>
  <si>
    <t>OK1055_06</t>
  </si>
  <si>
    <t>IMG_20251024-150727.jpg</t>
  </si>
  <si>
    <t>IMG_20251024-151113.jpg</t>
  </si>
  <si>
    <t>IMG_20251024-151809.jpg</t>
  </si>
  <si>
    <t>OK1424_07</t>
  </si>
  <si>
    <t>IMG_20251024-152838.jpg</t>
  </si>
  <si>
    <t>IMG_20251024-153323.jpg</t>
  </si>
  <si>
    <t>IMG_20251024-153649.jpg</t>
  </si>
  <si>
    <t>OK1063_03</t>
  </si>
  <si>
    <t>IMG_20251024-154209.jpg</t>
  </si>
  <si>
    <t>IMG_20251024-154429.jpg</t>
  </si>
  <si>
    <t>IMG_20251024-154821.jpg</t>
  </si>
  <si>
    <t>Stampede_03</t>
  </si>
  <si>
    <t>IMG_20251024-155727.jpg</t>
  </si>
  <si>
    <t>IMG_20251024-160030.jpg</t>
  </si>
  <si>
    <t>IMG_20251024-160424.jpg</t>
  </si>
  <si>
    <t>IMG_20251003-145932.jpg</t>
  </si>
  <si>
    <t>Benbrook_01_basal_4X.JPG</t>
  </si>
  <si>
    <t>Benbrook_01_distal_4X.JPG</t>
  </si>
  <si>
    <t>Benbrook_01_middle_4X.JPG</t>
  </si>
  <si>
    <t>Benbrook_08_basal_4X.JPG</t>
  </si>
  <si>
    <t>Benbrook_08_distal_4X.JPG</t>
  </si>
  <si>
    <t>Benbrook_08_middle_4X.JPG</t>
  </si>
  <si>
    <t>Eddy_03_basal_4X.JPG</t>
  </si>
  <si>
    <t>Eddy_03_distal_4X.JPG</t>
  </si>
  <si>
    <t>Eddy_03_middle_4X.JPG</t>
  </si>
  <si>
    <t>Eddy_09_basal_4X.JPG</t>
  </si>
  <si>
    <t>Eddy_09_distal_4X.JPG</t>
  </si>
  <si>
    <t>Eddy_09_middle_4X.JPG</t>
  </si>
  <si>
    <t>KZ04_08_basal_4X.JPG</t>
  </si>
  <si>
    <t>KZ04_08_distal_4X.JPG</t>
  </si>
  <si>
    <t>KZ04_08_middle_4X.JPG</t>
  </si>
  <si>
    <t>Little_River_IA_01_basal_4X.JPG</t>
  </si>
  <si>
    <t>Little_River_IA_01_distal_4X.JPG</t>
  </si>
  <si>
    <t>Little_River_IA_01_middle_4X.JPG</t>
  </si>
  <si>
    <t>Little_River_IA_03_basal_4X.JPG</t>
  </si>
  <si>
    <t>Little_River_IA_03_distal_4X.JPG</t>
  </si>
  <si>
    <t>Little_River_IA_03_middle_4X.JPG</t>
  </si>
  <si>
    <t>Little_River_IA_05_basal_4X.JPG</t>
  </si>
  <si>
    <t>Little_River_IA_05_distal_4X.JPG</t>
  </si>
  <si>
    <t>Little_River_IA_05_middle_4X.JPG</t>
  </si>
  <si>
    <t>Little_River_IA_06_basal_4X.JPG</t>
  </si>
  <si>
    <t>Little_River_IA_06_distal_4X.JPG</t>
  </si>
  <si>
    <t>Little_River_IA_06_middle_4X.JPG</t>
  </si>
  <si>
    <t>Mesquite_02_basal_4X.JPG</t>
  </si>
  <si>
    <t>Mesquite_02_distal_4X.JPG</t>
  </si>
  <si>
    <t>Mesquite_02_middle_4X.JPG</t>
  </si>
  <si>
    <t>Mesquite_08_basal_4X.JPG</t>
  </si>
  <si>
    <t>Mesquite_08_distal_4X.JPG</t>
  </si>
  <si>
    <t>Mesquite_08_middle_4X.JPG</t>
  </si>
  <si>
    <t>OK1055_01_basal_4X.JPG</t>
  </si>
  <si>
    <t>OK1055_01_distal_4X.JPG</t>
  </si>
  <si>
    <t>OK1055_01_middle_4X.JPG</t>
  </si>
  <si>
    <t>OK1055_02_basal_4X.JPG</t>
  </si>
  <si>
    <t>OK1055_02_distal_4X.JPG</t>
  </si>
  <si>
    <t>OK1055_02_middle_4X.JPG</t>
  </si>
  <si>
    <t>OK1055_05_basal_4X.JPG</t>
  </si>
  <si>
    <t>OK1055_05_distal_4X.JPG</t>
  </si>
  <si>
    <t>OK1055_05_middle_4X.JPG</t>
  </si>
  <si>
    <t>OK1055_06_basal_4X.JPG</t>
  </si>
  <si>
    <t>OK1055_06_distal_4X.JPG</t>
  </si>
  <si>
    <t>OK1055_06_middle_4X.JPG</t>
  </si>
  <si>
    <t>OK1063_01_basal_4X.JPG</t>
  </si>
  <si>
    <t>OK1063_01_distal_4X.JPG</t>
  </si>
  <si>
    <t>OK1063_01_middle_4X.JPG</t>
  </si>
  <si>
    <t>OK1063_03_basal_4X.JPG</t>
  </si>
  <si>
    <t>OK1063_03_distal_4X.JPG</t>
  </si>
  <si>
    <t>OK1063_03_middle_4X.JPG</t>
  </si>
  <si>
    <t>OK1063_08_basal_4X.JPG</t>
  </si>
  <si>
    <t>OK1063_08_distal_4X.JPG</t>
  </si>
  <si>
    <t>OK1063_08_middle_4X.JPG</t>
  </si>
  <si>
    <t>OK1063_12_basal_4X.JPG</t>
  </si>
  <si>
    <t>OK1063_12_distal_4X.JPG</t>
  </si>
  <si>
    <t>OK1063_12_middle_4X.JPG</t>
  </si>
  <si>
    <t>OK1127_06_basal_4X.JPG</t>
  </si>
  <si>
    <t>OK1127_06_distal_4X.JPG</t>
  </si>
  <si>
    <t>OK1127_06_middle_4X.JPG</t>
  </si>
  <si>
    <t>OK1127_08_basal_4X.JPG</t>
  </si>
  <si>
    <t>OK1127_08_distal_4X.JPG</t>
  </si>
  <si>
    <t>OK1127_08_middle_4X.JPG</t>
  </si>
  <si>
    <t>OK1127_11_basal_4X.JPG</t>
  </si>
  <si>
    <t>OK1127_11_distal_4X.JPG</t>
  </si>
  <si>
    <t>OK1127_11_middle_4X.JPG</t>
  </si>
  <si>
    <t>OK1127_13_basal_4X.JPG</t>
  </si>
  <si>
    <t>OK1127_13_distal_4X.JPG</t>
  </si>
  <si>
    <t>OK1127_13_middle_4X.JPG</t>
  </si>
  <si>
    <t>OK1127_15_basal_4X.JPG</t>
  </si>
  <si>
    <t>OK1127_15_distal_4X.JPG</t>
  </si>
  <si>
    <t>OK1127_15_middle_4X.JPG</t>
  </si>
  <si>
    <t>OK1374_03_basal_4X.JPG</t>
  </si>
  <si>
    <t>OK1374_03_distal_4X.JPG</t>
  </si>
  <si>
    <t>OK1374_03_middle_4X.JPG</t>
  </si>
  <si>
    <t>OK1374_05_basal_4X.JPG</t>
  </si>
  <si>
    <t>OK1374_05_distal_4X.JPG</t>
  </si>
  <si>
    <t>OK1374_05_middle_4X.JPG</t>
  </si>
  <si>
    <t>OK1374_07_basal_4X.JPG</t>
  </si>
  <si>
    <t>OK1374_07_distal_4X.JPG</t>
  </si>
  <si>
    <t>OK1374_07_middle_4X.JPG</t>
  </si>
  <si>
    <t>OK1374_08_basal_2X.JPG</t>
  </si>
  <si>
    <t>OK1374_08_distal_4X.JPG</t>
  </si>
  <si>
    <t>OK1374_08_middle_4X.JPG</t>
  </si>
  <si>
    <t>OK1424_01_basal_4X.JPG</t>
  </si>
  <si>
    <t>OK1424_01_distal_4X.JPG</t>
  </si>
  <si>
    <t>OK1424_01_middle_4X.JPG</t>
  </si>
  <si>
    <t>OK1424_02_basal_4X.JPG</t>
  </si>
  <si>
    <t>OK1424_02_distal_4X.JPG</t>
  </si>
  <si>
    <t>OK1424_02_middle_4X.JPG</t>
  </si>
  <si>
    <t>OK1424_07_basal_4X.JPG</t>
  </si>
  <si>
    <t>OK1424_07_distal_4X.JPG</t>
  </si>
  <si>
    <t>OK1424_07_middle_4X.JPG</t>
  </si>
  <si>
    <t>OK1424_08_basal_4X.JPG</t>
  </si>
  <si>
    <t>OK1424_08_distal_2X.JPG</t>
  </si>
  <si>
    <t>OK1424_08_middle_4X.JPG</t>
  </si>
  <si>
    <t>OK1424_16_basal_4X.JPG</t>
  </si>
  <si>
    <t>OK1424_16_distal_4X.JPG</t>
  </si>
  <si>
    <t>OK1424_16_middle_4X.JPG</t>
  </si>
  <si>
    <t>OK1801_03_basal_4X.JPG</t>
  </si>
  <si>
    <t>OK1801_03_distal_4X.JPG</t>
  </si>
  <si>
    <t>OK1801_03_middle_4X.JPG</t>
  </si>
  <si>
    <t>OK1801_04_basal_4X.JPG</t>
  </si>
  <si>
    <t>OK1801_04_distal_4X.JPG</t>
  </si>
  <si>
    <t>OK1801_04_middle_4X.JPG</t>
  </si>
  <si>
    <t>OK1801_05_basal_4X.JPG</t>
  </si>
  <si>
    <t>OK1801_05_distal_4X.JPG</t>
  </si>
  <si>
    <t>OK1801_05_middle_4X.JPG</t>
  </si>
  <si>
    <t>OK1801_07_basal_4X.JPG</t>
  </si>
  <si>
    <t>OK1801_07_distal_4X.JPG</t>
  </si>
  <si>
    <t>OK1801_07_middle_4X.JPG</t>
  </si>
  <si>
    <t>OK1951_07_basal_2X.JPG</t>
  </si>
  <si>
    <t>OK1951_07_distal_4X.JPG</t>
  </si>
  <si>
    <t>OK1951_07_middle_2X.JPG</t>
  </si>
  <si>
    <t>Stampede_03_basal_4X.JPG</t>
  </si>
  <si>
    <t>Stampede_03_distal_4X.JPG</t>
  </si>
  <si>
    <t>Stampede_03_middle_4X.JPG</t>
  </si>
  <si>
    <t>Stampede_05_basal_4X.JPG</t>
  </si>
  <si>
    <t>Stampede_05_distal_4X.JPG</t>
  </si>
  <si>
    <t>Stampede_05_middle_4X.JPG</t>
  </si>
  <si>
    <t>Stampede_07_basal_4X.JPG</t>
  </si>
  <si>
    <t>Stampede_07_distal_4X.JPG</t>
  </si>
  <si>
    <t>Stampede_07_middle_4X.JPG</t>
  </si>
  <si>
    <t>Stampede_08_basal_4X.JPG</t>
  </si>
  <si>
    <t>Stampede_08_distal_2X.JPG</t>
  </si>
  <si>
    <t>Stampede_08_middle_4X.JPG</t>
  </si>
  <si>
    <t>Stampede_13_basal_4X.JPG</t>
  </si>
  <si>
    <t>Stampede_13_distal_4X.JPG</t>
  </si>
  <si>
    <t>Stampede_13_middle_4X.JPG</t>
  </si>
  <si>
    <t>IMG_20251029-140803.jpg</t>
  </si>
  <si>
    <t>IMG_20251029-142214.jpg</t>
  </si>
  <si>
    <t>IMG_20251029-142741.jpg</t>
  </si>
  <si>
    <t>IMG_20251029-143130.jpg</t>
  </si>
  <si>
    <t>IMG_20251029-143807.jpg</t>
  </si>
  <si>
    <t>IMG_20251029-144404.jpg</t>
  </si>
  <si>
    <t>IMG_20251029-144936.jpg</t>
  </si>
  <si>
    <t>IMG_20251029-145453.jpg</t>
  </si>
  <si>
    <t>IMG_20251029-151757.jpg</t>
  </si>
  <si>
    <t>IMG_20251029-152232.jpg</t>
  </si>
  <si>
    <t>IMG_20251029-153123.jpg</t>
  </si>
  <si>
    <t>IMG_20251029-153545.jpg</t>
  </si>
  <si>
    <t>IMG_20251029-154008.jpg</t>
  </si>
  <si>
    <t>IMG_20251029-154448.jpg</t>
  </si>
  <si>
    <t>IMG_20251029-154849.jpg</t>
  </si>
  <si>
    <t>IMG_20251029-155309.jpg</t>
  </si>
  <si>
    <t>IMG_20251029-155713.jpg</t>
  </si>
  <si>
    <t>IMG_20251029-161247.jpg</t>
  </si>
  <si>
    <t>IMG_20251029-161727.jpg</t>
  </si>
  <si>
    <t>IMG_20251029-162212.jpg</t>
  </si>
  <si>
    <t>IMG_20251029-163121.jpg</t>
  </si>
  <si>
    <t>IMG_20251029-163457.jpg</t>
  </si>
  <si>
    <t>IMG_20251029-164125.jpg</t>
  </si>
  <si>
    <t>IMG_20251031-131036.jpg</t>
  </si>
  <si>
    <t>IMG_20251031-131708.jpg</t>
  </si>
  <si>
    <t>IMG_20251031-132237.jpg</t>
  </si>
  <si>
    <t>IMG_20251031-132800.jpg</t>
  </si>
  <si>
    <t>IMG_20251031-133239.jpg</t>
  </si>
  <si>
    <t>IMG_20251031-134020.jpg</t>
  </si>
  <si>
    <t>IMG_20251031-134644.jpg</t>
  </si>
  <si>
    <t>IMG_20251031-135004.jpg</t>
  </si>
  <si>
    <t>IMG_20251031-135357.jpg</t>
  </si>
  <si>
    <t>IMG_20251031-142833.jpg</t>
  </si>
  <si>
    <t>IMG_20251031-143705.jpg</t>
  </si>
  <si>
    <t>IMG_20251031-144218.jpg</t>
  </si>
  <si>
    <t>IMG_20251031-144556.jpg</t>
  </si>
  <si>
    <t>IMG_20251031-145402.jpg</t>
  </si>
  <si>
    <t>IMG_20251031-150600.jpg</t>
  </si>
  <si>
    <t>IMG_20251031-151230.jpg</t>
  </si>
  <si>
    <t>IMG_20251031-151723.jpg</t>
  </si>
  <si>
    <t>IMG_20251031-152331.jpg</t>
  </si>
  <si>
    <t>IMG_20251031-152856.jpg</t>
  </si>
  <si>
    <t>IMG_20251031-153750.jpg</t>
  </si>
  <si>
    <t>IMG_20251031-154433.jpg</t>
  </si>
  <si>
    <t>IMG_20251031-155400.jpg</t>
  </si>
  <si>
    <t>IMG_20251031-155828.jpg</t>
  </si>
  <si>
    <t>IMG_20251031-160456.jpg</t>
  </si>
  <si>
    <t>IMG_20251031-161044.jpg</t>
  </si>
  <si>
    <t>IMG_20251031-161603.jpg</t>
  </si>
  <si>
    <t>IMG_20251031-161927.jpg</t>
  </si>
  <si>
    <t>IMG_20251031-162401.jpg</t>
  </si>
  <si>
    <t>IMG_20251031-162931.jpg</t>
  </si>
  <si>
    <t>IMG_20251031.140304.jpg</t>
  </si>
  <si>
    <t>IMG_20251031-141106.jpg</t>
  </si>
  <si>
    <t>IMG_20251031-141721.jpg</t>
  </si>
  <si>
    <t>IMG_20251105-140552.jpg</t>
  </si>
  <si>
    <t>IMG_20251105-141048.jpg</t>
  </si>
  <si>
    <t>IMG_20251105-141521.jpg</t>
  </si>
  <si>
    <t>IMG_20251105-142108.jpg</t>
  </si>
  <si>
    <t>IMG_20251105-142429.JPG</t>
  </si>
  <si>
    <t>IMG_20251105-142913.jpg</t>
  </si>
  <si>
    <t>IMG_20251105-143521.jpg</t>
  </si>
  <si>
    <t>IMG_20251105-144459.jpg</t>
  </si>
  <si>
    <t>IMG_20251105-145111.jpg</t>
  </si>
  <si>
    <t>IMG_20251105-145517.jpg</t>
  </si>
  <si>
    <t>IMG_20251105-145915.jpg</t>
  </si>
  <si>
    <t>IMG_20251105-150216.jpg</t>
  </si>
  <si>
    <t>IMG_20251105-150817.jpg</t>
  </si>
  <si>
    <t>IMG_20251105-151412.jpg</t>
  </si>
  <si>
    <t>IMG_20251105-151751.jpg</t>
  </si>
  <si>
    <t>IMG_20251105-152355.jpg</t>
  </si>
  <si>
    <t>IMG_20251105-152937.jpg</t>
  </si>
  <si>
    <t>IMG_20251105-153413.jpg</t>
  </si>
  <si>
    <t>IMG_20251105-153821.jpg</t>
  </si>
  <si>
    <t>IMG_20251105-154253.jpg</t>
  </si>
  <si>
    <t>IMG_20251105-154706.jpg</t>
  </si>
  <si>
    <t>IMG_20251105-155352.jpg</t>
  </si>
  <si>
    <t>IMG_20251105-155628.jpg</t>
  </si>
  <si>
    <t>IMG_20251105-155947.jpg</t>
  </si>
  <si>
    <t>2,6,11</t>
  </si>
  <si>
    <t>2,9,17</t>
  </si>
  <si>
    <t>2,6,12</t>
  </si>
  <si>
    <t>2,5,8</t>
  </si>
  <si>
    <t>2,9,18</t>
  </si>
  <si>
    <t>2,10,19</t>
  </si>
  <si>
    <t>2,5,9</t>
  </si>
  <si>
    <t>2,7,13</t>
  </si>
  <si>
    <t>2,8,16</t>
  </si>
  <si>
    <t>2,4,7</t>
  </si>
  <si>
    <t>2,4,8</t>
  </si>
  <si>
    <t>2,5,10</t>
  </si>
  <si>
    <t>2,3,5</t>
  </si>
  <si>
    <t>2,8,15</t>
  </si>
  <si>
    <t>3,6,11</t>
  </si>
  <si>
    <t>maize</t>
  </si>
  <si>
    <t>B73_01_basal_2X.JPG</t>
  </si>
  <si>
    <t>B73_01_middle_4X.JPG</t>
  </si>
  <si>
    <t>B73_02_basal_2X.JPG</t>
  </si>
  <si>
    <t>B73_02_distal_4X.JPG</t>
  </si>
  <si>
    <t>B73_02_middle_4X.JPG</t>
  </si>
  <si>
    <t>B73_03_basal_2X.JPG</t>
  </si>
  <si>
    <t>B73_03_distal_4X.JPG</t>
  </si>
  <si>
    <t>B73_03_middle_4X.JPG</t>
  </si>
  <si>
    <t>B73_04_basal_2X.JPG</t>
  </si>
  <si>
    <t>B73_04_distal_4X.JPG</t>
  </si>
  <si>
    <t>B73_04_middle_4X.JPG</t>
  </si>
  <si>
    <t>B73_05_basal_4X.JPG</t>
  </si>
  <si>
    <t>B73_05_distal_4X.JPG</t>
  </si>
  <si>
    <t>B73_05_middle_4X.JPG</t>
  </si>
  <si>
    <t>B73_06_basal_4X.JPG</t>
  </si>
  <si>
    <t>B73_06_distal_4X.JPG</t>
  </si>
  <si>
    <t>B73_06_middle_4X.JPG</t>
  </si>
  <si>
    <t>B73_07_basal_4X.JPG</t>
  </si>
  <si>
    <t>B73_07_distal_4X.JPG</t>
  </si>
  <si>
    <t>B73_07_middle_4X.JPG</t>
  </si>
  <si>
    <t>B73_08_basal_2X.JPG</t>
  </si>
  <si>
    <t>B73_08_distal_4X.JPG</t>
  </si>
  <si>
    <t>B73_08_middle_4X.JPG</t>
  </si>
  <si>
    <t>B73_09_basal_4X.JPG</t>
  </si>
  <si>
    <t>B73_09_distal_4X.JPG</t>
  </si>
  <si>
    <t>B73_09_middle_4X.JPG</t>
  </si>
  <si>
    <t>B73_10_basal_4X.JPG</t>
  </si>
  <si>
    <t>B73_10_distal_4X.JPG</t>
  </si>
  <si>
    <t>B73_10_middle_4X.JPG</t>
  </si>
  <si>
    <t>B73_11_distal_4X.JPG</t>
  </si>
  <si>
    <t>B73_11_middle_4X.JPG</t>
  </si>
  <si>
    <t>B73_12_basal_2X.JPG</t>
  </si>
  <si>
    <t>B73_12_middle_4X.JPG</t>
  </si>
  <si>
    <t>B73_13_basal_2X.JPG</t>
  </si>
  <si>
    <t>B73_13_distal_4X.JPG</t>
  </si>
  <si>
    <t>B73_13_middle_4X.JPG</t>
  </si>
  <si>
    <t>B73_14_basal_4X.JPG</t>
  </si>
  <si>
    <t>B73_14_distal_4X.JPG</t>
  </si>
  <si>
    <t>B73_14_middle_4X.JPG</t>
  </si>
  <si>
    <t>B73_15_basal_2X.JPG</t>
  </si>
  <si>
    <t>B73_15_distal_4X.JPG</t>
  </si>
  <si>
    <t>B73_15_middle_4X.JPG</t>
  </si>
  <si>
    <t>B73_16_basal_2X.JPG</t>
  </si>
  <si>
    <t>B73_16_distal_4X.JPG</t>
  </si>
  <si>
    <t>B73_16_middle_4X.JPG</t>
  </si>
  <si>
    <t>B73_17_basal_2X.JPG</t>
  </si>
  <si>
    <t>B73_17_distal_4X.JPG</t>
  </si>
  <si>
    <t>B73_17_middle_4X.JPG</t>
  </si>
  <si>
    <t>B73_18_basal_2X.JPG</t>
  </si>
  <si>
    <t>B73_18_distal_4X.JPG</t>
  </si>
  <si>
    <t>B73_18_middle_4X.JPG</t>
  </si>
  <si>
    <t>B73_19_basal_2X.JPG</t>
  </si>
  <si>
    <t>B73_19_distal_4X.JPG</t>
  </si>
  <si>
    <t>B73_19_middle_4X.JPG</t>
  </si>
  <si>
    <t>B73_20_basal_4X.JPG</t>
  </si>
  <si>
    <t>B73_20_distal_4X.JPG</t>
  </si>
  <si>
    <t>B73_20_middle_4X.JPG</t>
  </si>
  <si>
    <t>B73_21_basal_4X.JPG</t>
  </si>
  <si>
    <t>B73_21_distal_4X.JPG</t>
  </si>
  <si>
    <t>B73_21_middle_4X.JPG</t>
  </si>
  <si>
    <t>B73_22_basal_2X.JPG</t>
  </si>
  <si>
    <t>B73_22_distal_4X.JPG</t>
  </si>
  <si>
    <t>B73_22_middle_4X.JPG</t>
  </si>
  <si>
    <t>B73_23_basal_2X.JPG</t>
  </si>
  <si>
    <t>B73_23_distal_4X.JPG</t>
  </si>
  <si>
    <t>B73_23_middle_4X.JPG</t>
  </si>
  <si>
    <t>B73_24_basal_2X.JPG</t>
  </si>
  <si>
    <t>B73_24_distal_4X.JPG</t>
  </si>
  <si>
    <t>B73_24_middle_4X.JPG</t>
  </si>
  <si>
    <t>B73_25_basal_2X.JPG</t>
  </si>
  <si>
    <t>B73_25_distal_4X.JPG</t>
  </si>
  <si>
    <t>B73_25_middle_4X.JPG</t>
  </si>
  <si>
    <t>B73_26_basal_2X.JPG</t>
  </si>
  <si>
    <t>B73_26_distal_4X.JPG</t>
  </si>
  <si>
    <t>B73_26_middle_4X.JPG</t>
  </si>
  <si>
    <t>B73_27_basal_2X.JPG</t>
  </si>
  <si>
    <t>B73_27_distal_4X.JPG</t>
  </si>
  <si>
    <t>B73_27_middle_4X.JPG</t>
  </si>
  <si>
    <t>B73_11_basal_2X.JPG</t>
  </si>
  <si>
    <t>\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</si>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</sst>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11734B"/>
      <name val="Calibri"/>
      <family val="2"/>
    </font>
    <font>
      <sz val="11"/>
      <color rgb="FF0A53A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wrapText="1"/>
    </xf>
    <xf numFmtId="14" fontId="6" fillId="0" borderId="4" xfId="0" applyNumberFormat="1" applyFont="1" applyBorder="1" applyAlignment="1">
      <alignment horizontal="center" wrapText="1"/>
    </xf>
    <xf numFmtId="0" fontId="6" fillId="10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10" borderId="11" xfId="0" applyFont="1" applyFill="1" applyBorder="1" applyAlignment="1">
      <alignment horizontal="center" wrapText="1"/>
    </xf>
    <xf numFmtId="0" fontId="6" fillId="9" borderId="11" xfId="0" applyFont="1" applyFill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9" fillId="0" borderId="11" xfId="0" applyFont="1" applyBorder="1" applyAlignment="1">
      <alignment horizontal="center" wrapText="1"/>
    </xf>
    <xf numFmtId="14" fontId="6" fillId="0" borderId="11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10" borderId="13" xfId="0" applyFont="1" applyFill="1" applyBorder="1" applyAlignment="1">
      <alignment horizontal="center" wrapText="1"/>
    </xf>
    <xf numFmtId="0" fontId="6" fillId="9" borderId="13" xfId="0" applyFont="1" applyFill="1" applyBorder="1" applyAlignment="1">
      <alignment horizontal="center" wrapText="1"/>
    </xf>
    <xf numFmtId="0" fontId="7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wrapText="1"/>
    </xf>
    <xf numFmtId="14" fontId="6" fillId="0" borderId="13" xfId="0" applyNumberFormat="1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8" borderId="13" xfId="0" applyFont="1" applyFill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7" fillId="9" borderId="11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0" fillId="8" borderId="4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0"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D6BBEB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65F9A8"/>
        </patternFill>
      </fill>
    </dxf>
    <dxf>
      <fill>
        <patternFill>
          <bgColor rgb="FF7CDC34"/>
        </patternFill>
      </fill>
    </dxf>
    <dxf>
      <fill>
        <patternFill>
          <bgColor rgb="FF00B05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>
          <fgColor indexed="64"/>
          <bgColor rgb="FF008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8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8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8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8000"/>
      <color rgb="FF1F97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30E4D1-15ED-4327-A3E0-586D0DEA620B}" name="Table5" displayName="Table5" ref="A1:L491" totalsRowShown="0" headerRowDxfId="79" dataDxfId="77" headerRowBorderDxfId="78" tableBorderDxfId="76" totalsRowBorderDxfId="75">
  <autoFilter ref="A1:L491" xr:uid="{1530E4D1-15ED-4327-A3E0-586D0DEA620B}"/>
  <sortState xmlns:xlrd2="http://schemas.microsoft.com/office/spreadsheetml/2017/richdata2" ref="A2:K491">
    <sortCondition ref="A1:A491"/>
  </sortState>
  <tableColumns count="12">
    <tableColumn id="1" xr3:uid="{8EAC9F0F-AC19-4A66-ADD7-D64D95556653}" name="sample_id" dataDxfId="74"/>
    <tableColumn id="20" xr3:uid="{64F85F47-B5C8-4D7C-B0E9-CB749E185F3A}" name="objective" dataDxfId="73"/>
    <tableColumn id="9" xr3:uid="{F88AF83C-78EF-44E2-B76F-AAB112F1F61C}" name="conversion_rate_px_per_mm" dataDxfId="72"/>
    <tableColumn id="11" xr3:uid="{435F1A6A-5D0C-4D1E-A616-35E5054AC55A}" name="root_area" dataDxfId="71"/>
    <tableColumn id="12" xr3:uid="{E47FE9F8-642B-4AB9-B9C6-623082C3F248}" name="root_perimeter" dataDxfId="70"/>
    <tableColumn id="13" xr3:uid="{53B7326B-0FC7-4DC0-93BD-B31D3199BE74}" name="stele_area" dataDxfId="69"/>
    <tableColumn id="14" xr3:uid="{9E0C423E-C087-492C-9CFE-B85F9F6EAFC3}" name="stele_perimeter" dataDxfId="68"/>
    <tableColumn id="17" xr3:uid="{37783356-28CC-4AB4-AE87-1F61A5423A71}" name="aerenchyma_area" dataDxfId="67"/>
    <tableColumn id="18" xr3:uid="{0C40B1B6-B6F0-485A-B48A-50430CBFCB3F}" name="metaxylem_area" dataDxfId="66"/>
    <tableColumn id="19" xr3:uid="{B50F1C25-D003-4802-96DD-150EB04922AE}" name="metaxylem_number" dataDxfId="65"/>
    <tableColumn id="34" xr3:uid="{C0047744-1744-4143-BB2E-99EF85D211D7}" name="cortical_cell_file_number" dataDxfId="64"/>
    <tableColumn id="2" xr3:uid="{43382394-9844-40C5-968F-98486B165E1B}" name="length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AF862D-E71A-4C46-8C11-9243948CB9F9}" name="Table1" displayName="Table1" ref="A1:F28" totalsRowShown="0" headerRowDxfId="63" dataDxfId="61" headerRowBorderDxfId="62" tableBorderDxfId="60" totalsRowBorderDxfId="59">
  <autoFilter ref="A1:F28" xr:uid="{70AF862D-E71A-4C46-8C11-9243948CB9F9}"/>
  <tableColumns count="6">
    <tableColumn id="1" xr3:uid="{DF3EFAC7-DC4D-44FB-9BC6-62C2F9D2728E}" name="sample_id" dataDxfId="58"/>
    <tableColumn id="2" xr3:uid="{8DFC0980-473C-4A2F-99A9-1C3DB377DB72}" name="soil_treatment" dataDxfId="57"/>
    <tableColumn id="3" xr3:uid="{494BACD5-C96C-4F35-ABCA-DED33E074702}" name="stress" dataDxfId="56"/>
    <tableColumn id="11" xr3:uid="{89B081C3-735C-4B71-828F-E25963C8E1D2}" name="deteriorated_before_first_section_mm" dataDxfId="55"/>
    <tableColumn id="10" xr3:uid="{1494041E-8C3E-4F7F-AA3F-A4E8989100C5}" name="number_of_sections" dataDxfId="54"/>
    <tableColumn id="4" xr3:uid="{CDB6AED4-A933-4764-9C33-3501244D0DBD}" name="Note" dataDxfId="5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03CC5-830B-44C7-BEBD-D9F2BC1EE415}" name="Table14" displayName="Table14" ref="A1:S327" totalsRowShown="0" headerRowDxfId="52" dataDxfId="50" headerRowBorderDxfId="51" tableBorderDxfId="49" totalsRowBorderDxfId="48">
  <autoFilter ref="A1:S327" xr:uid="{6D803CC5-830B-44C7-BEBD-D9F2BC1EE415}"/>
  <tableColumns count="19">
    <tableColumn id="1" xr3:uid="{0923FA72-36BD-4E0C-A07C-5D45AC2FC0E5}" name="sample_id" dataDxfId="47"/>
    <tableColumn id="2" xr3:uid="{BEAEDDD8-9037-468F-94AC-D43672C15013}" name="soil_treatment" dataDxfId="46"/>
    <tableColumn id="3" xr3:uid="{FCEE663A-9000-42BF-AEA0-2AE4609637FC}" name="stress" dataDxfId="45"/>
    <tableColumn id="10" xr3:uid="{FCF61ECA-BFD1-49A7-B428-FCC990FEACDF}" name="section_number" dataDxfId="44"/>
    <tableColumn id="4" xr3:uid="{DF450A56-AC80-4123-97EE-3C4DE474686B}" name="width_img_px" dataDxfId="43"/>
    <tableColumn id="5" xr3:uid="{7D37E4A0-C3FC-4C21-81A8-5B0EF7120063}" name="height_img_px" dataDxfId="42"/>
    <tableColumn id="6" xr3:uid="{A45E42AC-B3DA-439A-A01E-E027364A2F52}" name="width_scalebar_px" dataDxfId="41"/>
    <tableColumn id="7" xr3:uid="{A7142776-52B0-4429-A90C-3F64DADB45FD}" name="width_scalebar_mm" dataDxfId="40"/>
    <tableColumn id="8" xr3:uid="{FA8EC300-2580-46D4-8F53-CC8809186273}" name="conversion_rate_mm_per_px" dataDxfId="39">
      <calculatedColumnFormula>Table14[[#This Row],[width_scalebar_mm]]/Table14[[#This Row],[width_scalebar_px]]</calculatedColumnFormula>
    </tableColumn>
    <tableColumn id="20" xr3:uid="{2AB68D02-DE30-4ECA-B518-06A5B57ADEA4}" name="deterioration_score" dataDxfId="38"/>
    <tableColumn id="17" xr3:uid="{4DF92A46-618F-4D84-B4C1-292519EFCAC9}" name="root_area" dataDxfId="37"/>
    <tableColumn id="16" xr3:uid="{4E71AB63-1C68-4005-94E7-C085958E91F6}" name="root_perimeter" dataDxfId="36"/>
    <tableColumn id="15" xr3:uid="{0CC24938-10FE-4DDE-8AC7-8BE658B45BBF}" name="stele_area" dataDxfId="35"/>
    <tableColumn id="14" xr3:uid="{739E7C92-5C51-4F9F-8137-49595C3B79B8}" name="stele_perimeter" dataDxfId="34"/>
    <tableColumn id="13" xr3:uid="{427B291D-342A-4D04-88A3-C2A978A2BA76}" name="pith_area" dataDxfId="33"/>
    <tableColumn id="12" xr3:uid="{06F0FC56-418A-412C-B4CD-28B79435C869}" name="pith_perimeter" dataDxfId="32"/>
    <tableColumn id="18" xr3:uid="{556CE6A0-9064-4DA4-B914-9F93468D0013}" name="aerenchyma_area" dataDxfId="31"/>
    <tableColumn id="19" xr3:uid="{C296B488-E63D-40ED-9A1E-AAA3E31293F4}" name="metaxylem_area" dataDxfId="30"/>
    <tableColumn id="21" xr3:uid="{842A4748-A03D-47A9-AB8A-1A11E3FAF0CE}" name="metaxylem_number" dataDxfId="2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BDC7F-F800-4ACE-8740-6242AC2AB7CB}" name="Table2" displayName="Table2" ref="A1:Q205" totalsRowShown="0" headerRowDxfId="28" dataDxfId="26" headerRowBorderDxfId="27" tableBorderDxfId="25" totalsRowBorderDxfId="24">
  <autoFilter ref="A1:Q205" xr:uid="{059BDC7F-F800-4ACE-8740-6242AC2AB7CB}"/>
  <sortState xmlns:xlrd2="http://schemas.microsoft.com/office/spreadsheetml/2017/richdata2" ref="A2:Q205">
    <sortCondition ref="D1:D205"/>
  </sortState>
  <tableColumns count="17">
    <tableColumn id="1" xr3:uid="{EDE91EB8-1CDC-46CA-B26D-ACBBE9581B87}" name="sample_id" dataDxfId="23"/>
    <tableColumn id="2" xr3:uid="{CD9395D5-4932-499C-BF4F-239C6E2B7606}" name="soil_treatment" dataDxfId="22"/>
    <tableColumn id="3" xr3:uid="{A2F60E5E-15E1-45A2-8DA8-ADF5E8091A6C}" name="stress" dataDxfId="21"/>
    <tableColumn id="4" xr3:uid="{26D22C26-27F2-42FF-BC60-603A064221C5}" name="section" dataDxfId="20"/>
    <tableColumn id="5" xr3:uid="{12E36D90-F26D-41C0-8B0F-6CC75EB96E72}" name="feature" dataDxfId="19"/>
    <tableColumn id="6" xr3:uid="{83C7D163-B30D-4880-8AB3-5EFE8FA58E4D}" name="feature number" dataDxfId="18"/>
    <tableColumn id="7" xr3:uid="{705785C1-CA89-4203-9F01-9034D082D49E}" name="label" dataDxfId="17"/>
    <tableColumn id="8" xr3:uid="{86E8F079-F966-4151-8A25-F59572F5350D}" name="area" dataDxfId="16"/>
    <tableColumn id="9" xr3:uid="{B2CCC088-192D-4D70-B5CE-DCDB60FE4A3A}" name="perimeter" dataDxfId="15"/>
    <tableColumn id="10" xr3:uid="{1626FB90-D1E7-4A0C-ADB3-84E4CBA2B616}" name="bx" dataDxfId="14"/>
    <tableColumn id="11" xr3:uid="{FD8D3450-38D8-40D0-9B50-EB3A52A5D94F}" name="by" dataDxfId="13"/>
    <tableColumn id="12" xr3:uid="{158992FB-B66A-46CD-8361-F291714F08FD}" name="width" dataDxfId="12"/>
    <tableColumn id="13" xr3:uid="{5A6FDE51-0ACA-4916-8622-6FB20AE1A9BF}" name="height" dataDxfId="11"/>
    <tableColumn id="14" xr3:uid="{2FA2DE8D-0D32-484F-BE54-A5075C928A99}" name="circularity" dataDxfId="10"/>
    <tableColumn id="15" xr3:uid="{258911A1-24E3-42B4-AC33-C76C264EE7F3}" name="aspect_ratio" dataDxfId="9"/>
    <tableColumn id="16" xr3:uid="{B48717DE-3531-4107-9476-2F8E233DAE0B}" name="roundness" dataDxfId="8"/>
    <tableColumn id="17" xr3:uid="{C1A69FE7-0505-4180-8288-C23899B876DA}" name="solidity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DF43-CE46-4509-886C-51B66D58501B}">
  <dimension ref="A1:L491"/>
  <sheetViews>
    <sheetView tabSelected="1" zoomScale="70" zoomScaleNormal="70" workbookViewId="0">
      <pane xSplit="1" ySplit="1" topLeftCell="H42" activePane="bottomRight" state="frozen"/>
      <selection pane="topRight" activeCell="B1" sqref="B1"/>
      <selection pane="bottomLeft" activeCell="A2" sqref="A2"/>
      <selection pane="bottomRight" activeCell="L81" sqref="L81"/>
    </sheetView>
  </sheetViews>
  <sheetFormatPr defaultRowHeight="15"/>
  <cols>
    <col min="1" max="1" width="32.28515625" style="3" bestFit="1" customWidth="1"/>
    <col min="2" max="2" width="14.140625" style="3" bestFit="1" customWidth="1"/>
    <col min="3" max="3" width="32" style="3" bestFit="1" customWidth="1"/>
    <col min="4" max="4" width="14.5703125" style="3" bestFit="1" customWidth="1"/>
    <col min="5" max="5" width="19.42578125" style="3" bestFit="1" customWidth="1"/>
    <col min="6" max="6" width="15.28515625" style="3" bestFit="1" customWidth="1"/>
    <col min="7" max="7" width="20.140625" style="3" bestFit="1" customWidth="1"/>
    <col min="8" max="8" width="21.7109375" style="3" bestFit="1" customWidth="1"/>
    <col min="9" max="9" width="21" style="3" bestFit="1" customWidth="1"/>
    <col min="10" max="10" width="23.85546875" style="3" bestFit="1" customWidth="1"/>
    <col min="11" max="11" width="28.5703125" style="3" bestFit="1" customWidth="1"/>
  </cols>
  <sheetData>
    <row r="1" spans="1:12">
      <c r="A1" s="14" t="s">
        <v>0</v>
      </c>
      <c r="B1" s="15" t="s">
        <v>396</v>
      </c>
      <c r="C1" s="24" t="s">
        <v>473</v>
      </c>
      <c r="D1" s="25" t="s">
        <v>277</v>
      </c>
      <c r="E1" s="25" t="s">
        <v>278</v>
      </c>
      <c r="F1" s="25" t="s">
        <v>279</v>
      </c>
      <c r="G1" s="25" t="s">
        <v>280</v>
      </c>
      <c r="H1" s="25" t="s">
        <v>283</v>
      </c>
      <c r="I1" s="25" t="s">
        <v>284</v>
      </c>
      <c r="J1" s="25" t="s">
        <v>286</v>
      </c>
      <c r="K1" s="25" t="s">
        <v>467</v>
      </c>
      <c r="L1" s="66" t="s">
        <v>1437</v>
      </c>
    </row>
    <row r="2" spans="1:12">
      <c r="A2" s="1" t="s">
        <v>1357</v>
      </c>
      <c r="B2" s="2" t="s">
        <v>310</v>
      </c>
      <c r="C2" s="2">
        <v>500</v>
      </c>
      <c r="D2" s="2">
        <v>1696457</v>
      </c>
      <c r="E2" s="2">
        <v>4648</v>
      </c>
      <c r="F2" s="2">
        <v>635562</v>
      </c>
      <c r="G2" s="2">
        <v>2842</v>
      </c>
      <c r="H2" s="2">
        <v>0</v>
      </c>
      <c r="I2" s="2">
        <v>48286</v>
      </c>
      <c r="J2" s="2">
        <v>24</v>
      </c>
      <c r="K2" s="1">
        <v>18</v>
      </c>
      <c r="L2" s="26">
        <v>22</v>
      </c>
    </row>
    <row r="3" spans="1:12">
      <c r="A3" s="1" t="s">
        <v>1358</v>
      </c>
      <c r="B3" s="2" t="s">
        <v>46</v>
      </c>
      <c r="C3" s="2">
        <v>920</v>
      </c>
      <c r="D3" s="2">
        <v>3339389</v>
      </c>
      <c r="E3" s="2">
        <v>6603</v>
      </c>
      <c r="F3" s="2">
        <v>749225</v>
      </c>
      <c r="G3" s="2">
        <v>3112</v>
      </c>
      <c r="H3" s="2">
        <v>296218</v>
      </c>
      <c r="I3" s="2">
        <v>132705</v>
      </c>
      <c r="J3" s="2">
        <v>17</v>
      </c>
      <c r="K3" s="1">
        <v>14.75</v>
      </c>
      <c r="L3" s="2">
        <v>22</v>
      </c>
    </row>
    <row r="4" spans="1:12">
      <c r="A4" s="1" t="s">
        <v>1359</v>
      </c>
      <c r="B4" s="2" t="s">
        <v>310</v>
      </c>
      <c r="C4" s="2">
        <v>920</v>
      </c>
      <c r="D4" s="2">
        <v>1727691</v>
      </c>
      <c r="E4" s="2">
        <v>4683</v>
      </c>
      <c r="F4" s="2">
        <v>565902</v>
      </c>
      <c r="G4" s="2">
        <v>2690</v>
      </c>
      <c r="H4" s="2">
        <v>265307</v>
      </c>
      <c r="I4" s="2">
        <v>47979</v>
      </c>
      <c r="J4" s="2">
        <v>24</v>
      </c>
      <c r="K4" s="1" t="s">
        <v>287</v>
      </c>
      <c r="L4" s="2">
        <v>22</v>
      </c>
    </row>
    <row r="5" spans="1:12">
      <c r="A5" s="1" t="s">
        <v>1360</v>
      </c>
      <c r="B5" s="2" t="s">
        <v>46</v>
      </c>
      <c r="C5" s="2">
        <v>920</v>
      </c>
      <c r="D5" s="2">
        <v>1804820</v>
      </c>
      <c r="E5" s="2">
        <v>4928</v>
      </c>
      <c r="F5" s="2">
        <v>376978</v>
      </c>
      <c r="G5" s="2">
        <v>2201</v>
      </c>
      <c r="H5" s="2">
        <v>307024</v>
      </c>
      <c r="I5" s="2">
        <v>75066</v>
      </c>
      <c r="J5" s="2">
        <v>14</v>
      </c>
      <c r="K5" s="1">
        <v>14.66</v>
      </c>
      <c r="L5" s="2">
        <v>22</v>
      </c>
    </row>
    <row r="6" spans="1:12">
      <c r="A6" s="1" t="s">
        <v>1361</v>
      </c>
      <c r="B6" s="2" t="s">
        <v>46</v>
      </c>
      <c r="C6" s="2">
        <v>920</v>
      </c>
      <c r="D6" s="2">
        <v>2622335</v>
      </c>
      <c r="E6" s="2">
        <v>5802</v>
      </c>
      <c r="F6" s="2">
        <v>595125</v>
      </c>
      <c r="G6" s="2">
        <v>2761</v>
      </c>
      <c r="H6" s="2">
        <v>536943</v>
      </c>
      <c r="I6" s="2">
        <v>111832</v>
      </c>
      <c r="J6" s="2">
        <v>18</v>
      </c>
      <c r="K6" s="1">
        <v>15.66</v>
      </c>
      <c r="L6" s="2">
        <v>22</v>
      </c>
    </row>
    <row r="7" spans="1:12">
      <c r="A7" s="1" t="s">
        <v>1362</v>
      </c>
      <c r="B7" s="2" t="s">
        <v>310</v>
      </c>
      <c r="C7" s="2">
        <v>500</v>
      </c>
      <c r="D7" s="2">
        <v>1082583</v>
      </c>
      <c r="E7" s="2">
        <v>3775</v>
      </c>
      <c r="F7" s="2">
        <v>313370</v>
      </c>
      <c r="G7" s="2">
        <v>1995</v>
      </c>
      <c r="H7" s="2">
        <v>0</v>
      </c>
      <c r="I7" s="2">
        <v>39291</v>
      </c>
      <c r="J7" s="2">
        <v>16</v>
      </c>
      <c r="K7" s="1">
        <v>17.5</v>
      </c>
      <c r="L7" s="2">
        <v>34</v>
      </c>
    </row>
    <row r="8" spans="1:12">
      <c r="A8" s="1" t="s">
        <v>1363</v>
      </c>
      <c r="B8" s="2" t="s">
        <v>46</v>
      </c>
      <c r="C8" s="2">
        <v>920</v>
      </c>
      <c r="D8" s="2">
        <v>747942</v>
      </c>
      <c r="E8" s="2">
        <v>3168</v>
      </c>
      <c r="F8" s="2">
        <v>115887</v>
      </c>
      <c r="G8" s="2">
        <v>1218</v>
      </c>
      <c r="H8" s="2">
        <v>20507</v>
      </c>
      <c r="I8" s="2">
        <v>17359</v>
      </c>
      <c r="J8" s="2">
        <v>8</v>
      </c>
      <c r="K8" s="1">
        <v>10.66</v>
      </c>
      <c r="L8" s="2">
        <v>34</v>
      </c>
    </row>
    <row r="9" spans="1:12">
      <c r="A9" s="1" t="s">
        <v>1364</v>
      </c>
      <c r="B9" s="2" t="s">
        <v>46</v>
      </c>
      <c r="C9" s="2">
        <v>920</v>
      </c>
      <c r="D9" s="2">
        <v>1745927</v>
      </c>
      <c r="E9" s="2">
        <v>4936</v>
      </c>
      <c r="F9" s="2">
        <v>432312</v>
      </c>
      <c r="G9" s="2">
        <v>2349</v>
      </c>
      <c r="H9" s="2">
        <v>337736</v>
      </c>
      <c r="I9" s="2">
        <v>83409</v>
      </c>
      <c r="J9" s="2">
        <v>13</v>
      </c>
      <c r="K9" s="1">
        <v>12.75</v>
      </c>
      <c r="L9" s="2">
        <v>34</v>
      </c>
    </row>
    <row r="10" spans="1:12">
      <c r="A10" s="1" t="s">
        <v>1365</v>
      </c>
      <c r="B10" s="2" t="s">
        <v>310</v>
      </c>
      <c r="C10" s="2">
        <v>500</v>
      </c>
      <c r="D10" s="2">
        <v>1893649</v>
      </c>
      <c r="E10" s="2">
        <v>4928</v>
      </c>
      <c r="F10" s="2">
        <v>560506</v>
      </c>
      <c r="G10" s="2">
        <v>2670</v>
      </c>
      <c r="H10" s="2">
        <v>300782</v>
      </c>
      <c r="I10" s="2">
        <v>39023</v>
      </c>
      <c r="J10" s="2">
        <v>18</v>
      </c>
      <c r="K10" s="1">
        <v>22</v>
      </c>
      <c r="L10" s="2">
        <v>12</v>
      </c>
    </row>
    <row r="11" spans="1:12">
      <c r="A11" s="1" t="s">
        <v>1366</v>
      </c>
      <c r="B11" s="2" t="s">
        <v>46</v>
      </c>
      <c r="C11" s="2">
        <v>920</v>
      </c>
      <c r="D11" s="2">
        <v>1647351</v>
      </c>
      <c r="E11" s="2">
        <v>4624</v>
      </c>
      <c r="F11" s="2">
        <v>287246</v>
      </c>
      <c r="G11" s="2">
        <v>1923</v>
      </c>
      <c r="H11" s="2">
        <v>65613</v>
      </c>
      <c r="I11" s="2">
        <v>59193</v>
      </c>
      <c r="J11" s="2">
        <v>13</v>
      </c>
      <c r="K11" s="1">
        <v>15</v>
      </c>
      <c r="L11" s="2">
        <v>12</v>
      </c>
    </row>
    <row r="12" spans="1:12">
      <c r="A12" s="1" t="s">
        <v>1367</v>
      </c>
      <c r="B12" s="2" t="s">
        <v>46</v>
      </c>
      <c r="C12" s="2">
        <v>920</v>
      </c>
      <c r="D12" s="2">
        <v>2338922</v>
      </c>
      <c r="E12" s="2">
        <v>5506</v>
      </c>
      <c r="F12" s="2">
        <v>508146</v>
      </c>
      <c r="G12" s="2">
        <v>2546</v>
      </c>
      <c r="H12" s="2">
        <v>483564</v>
      </c>
      <c r="I12" s="2">
        <v>80538</v>
      </c>
      <c r="J12" s="2">
        <v>14</v>
      </c>
      <c r="K12" s="1">
        <v>14</v>
      </c>
      <c r="L12" s="2">
        <v>12</v>
      </c>
    </row>
    <row r="13" spans="1:12">
      <c r="A13" s="1" t="s">
        <v>1368</v>
      </c>
      <c r="B13" s="2" t="s">
        <v>46</v>
      </c>
      <c r="C13" s="2">
        <v>920</v>
      </c>
      <c r="D13" s="2">
        <v>2760576</v>
      </c>
      <c r="E13" s="2">
        <v>5962</v>
      </c>
      <c r="F13" s="2">
        <v>716581</v>
      </c>
      <c r="G13" s="2">
        <v>3040</v>
      </c>
      <c r="H13" s="2">
        <v>456152</v>
      </c>
      <c r="I13" s="2">
        <v>121378</v>
      </c>
      <c r="J13" s="2">
        <v>15</v>
      </c>
      <c r="K13" s="1">
        <v>16.66</v>
      </c>
      <c r="L13" s="2">
        <v>18</v>
      </c>
    </row>
    <row r="14" spans="1:12">
      <c r="A14" s="1" t="s">
        <v>1369</v>
      </c>
      <c r="B14" s="2" t="s">
        <v>46</v>
      </c>
      <c r="C14" s="2">
        <v>920</v>
      </c>
      <c r="D14" s="2">
        <v>2035874</v>
      </c>
      <c r="E14" s="2">
        <v>5090</v>
      </c>
      <c r="F14" s="2">
        <v>356478</v>
      </c>
      <c r="G14" s="2">
        <v>2132</v>
      </c>
      <c r="H14" s="2">
        <v>38343</v>
      </c>
      <c r="I14" s="2">
        <v>68043</v>
      </c>
      <c r="J14" s="2">
        <v>13</v>
      </c>
      <c r="K14" s="1">
        <v>13.75</v>
      </c>
      <c r="L14" s="2">
        <v>18</v>
      </c>
    </row>
    <row r="15" spans="1:12">
      <c r="A15" s="1" t="s">
        <v>1370</v>
      </c>
      <c r="B15" s="2" t="s">
        <v>46</v>
      </c>
      <c r="C15" s="2">
        <v>920</v>
      </c>
      <c r="D15" s="2">
        <v>2546030</v>
      </c>
      <c r="E15" s="2">
        <v>5780</v>
      </c>
      <c r="F15" s="2">
        <v>530062</v>
      </c>
      <c r="G15" s="2">
        <v>2616</v>
      </c>
      <c r="H15" s="2">
        <v>389062</v>
      </c>
      <c r="I15" s="2">
        <v>92825</v>
      </c>
      <c r="J15" s="2">
        <v>13</v>
      </c>
      <c r="K15" s="1">
        <v>14.66</v>
      </c>
      <c r="L15" s="2">
        <v>18</v>
      </c>
    </row>
    <row r="16" spans="1:12">
      <c r="A16" s="1" t="s">
        <v>1371</v>
      </c>
      <c r="B16" s="2" t="s">
        <v>46</v>
      </c>
      <c r="C16" s="2">
        <v>920</v>
      </c>
      <c r="D16" s="2">
        <v>2838448</v>
      </c>
      <c r="E16" s="2">
        <v>6002</v>
      </c>
      <c r="F16" s="2">
        <v>699284</v>
      </c>
      <c r="G16" s="2">
        <v>2988</v>
      </c>
      <c r="H16" s="2">
        <v>0</v>
      </c>
      <c r="I16" s="2">
        <v>96257</v>
      </c>
      <c r="J16" s="2">
        <v>14</v>
      </c>
      <c r="K16" s="1">
        <v>19.25</v>
      </c>
      <c r="L16" s="2">
        <v>36</v>
      </c>
    </row>
    <row r="17" spans="1:12">
      <c r="A17" s="1" t="s">
        <v>1372</v>
      </c>
      <c r="B17" s="2" t="s">
        <v>46</v>
      </c>
      <c r="C17" s="2">
        <v>920</v>
      </c>
      <c r="D17" s="2">
        <v>771171</v>
      </c>
      <c r="E17" s="2">
        <v>3270</v>
      </c>
      <c r="F17" s="2">
        <v>83853</v>
      </c>
      <c r="G17" s="2">
        <v>1051</v>
      </c>
      <c r="H17" s="2">
        <v>23087</v>
      </c>
      <c r="I17" s="2">
        <v>13587</v>
      </c>
      <c r="J17" s="2">
        <v>5</v>
      </c>
      <c r="K17" s="1">
        <v>10</v>
      </c>
      <c r="L17" s="2">
        <v>36</v>
      </c>
    </row>
    <row r="18" spans="1:12">
      <c r="A18" s="1" t="s">
        <v>1373</v>
      </c>
      <c r="B18" s="2" t="s">
        <v>46</v>
      </c>
      <c r="C18" s="2">
        <v>920</v>
      </c>
      <c r="D18" s="2">
        <v>990258</v>
      </c>
      <c r="E18" s="2">
        <v>3621</v>
      </c>
      <c r="F18" s="2">
        <v>169567</v>
      </c>
      <c r="G18" s="2">
        <v>1479</v>
      </c>
      <c r="H18" s="2">
        <v>120396</v>
      </c>
      <c r="I18" s="2">
        <v>36871</v>
      </c>
      <c r="J18" s="2">
        <v>10</v>
      </c>
      <c r="K18" s="1">
        <v>12.25</v>
      </c>
      <c r="L18" s="2">
        <v>36</v>
      </c>
    </row>
    <row r="19" spans="1:12">
      <c r="A19" s="1" t="s">
        <v>1374</v>
      </c>
      <c r="B19" s="2" t="s">
        <v>46</v>
      </c>
      <c r="C19" s="2">
        <v>920</v>
      </c>
      <c r="D19" s="2">
        <v>3286391</v>
      </c>
      <c r="E19" s="2">
        <v>6476</v>
      </c>
      <c r="F19" s="2">
        <v>967407</v>
      </c>
      <c r="G19" s="2">
        <v>3508</v>
      </c>
      <c r="H19" s="3">
        <v>0</v>
      </c>
      <c r="I19" s="2">
        <v>127196</v>
      </c>
      <c r="J19" s="2">
        <v>20</v>
      </c>
      <c r="K19" s="1">
        <v>19.25</v>
      </c>
      <c r="L19" s="2">
        <v>36</v>
      </c>
    </row>
    <row r="20" spans="1:12">
      <c r="A20" s="1" t="s">
        <v>1375</v>
      </c>
      <c r="B20" s="2" t="s">
        <v>46</v>
      </c>
      <c r="C20" s="2">
        <v>920</v>
      </c>
      <c r="D20" s="2">
        <v>439073</v>
      </c>
      <c r="E20" s="2">
        <v>2816</v>
      </c>
      <c r="F20" s="2">
        <v>115829</v>
      </c>
      <c r="G20" s="2">
        <v>1233</v>
      </c>
      <c r="H20" s="3">
        <v>0</v>
      </c>
      <c r="I20" s="2">
        <v>20310</v>
      </c>
      <c r="J20" s="2">
        <v>6</v>
      </c>
      <c r="K20" s="1" t="s">
        <v>287</v>
      </c>
      <c r="L20" s="2">
        <v>36</v>
      </c>
    </row>
    <row r="21" spans="1:12">
      <c r="A21" s="1" t="s">
        <v>1376</v>
      </c>
      <c r="B21" s="2" t="s">
        <v>46</v>
      </c>
      <c r="C21" s="2">
        <v>920</v>
      </c>
      <c r="D21" s="2">
        <v>1080758</v>
      </c>
      <c r="E21" s="2">
        <v>3838</v>
      </c>
      <c r="F21" s="2">
        <v>237266</v>
      </c>
      <c r="G21" s="2">
        <v>1739</v>
      </c>
      <c r="H21" s="3">
        <v>0</v>
      </c>
      <c r="I21" s="2">
        <v>60399</v>
      </c>
      <c r="J21" s="2">
        <v>11</v>
      </c>
      <c r="K21" s="1">
        <v>11.25</v>
      </c>
      <c r="L21" s="2">
        <v>36</v>
      </c>
    </row>
    <row r="22" spans="1:12">
      <c r="A22" s="1" t="s">
        <v>1377</v>
      </c>
      <c r="B22" s="2" t="s">
        <v>310</v>
      </c>
      <c r="C22" s="2">
        <v>500</v>
      </c>
      <c r="D22" s="2">
        <v>1493874</v>
      </c>
      <c r="E22" s="2">
        <v>4373</v>
      </c>
      <c r="F22" s="2">
        <v>509957</v>
      </c>
      <c r="G22" s="2">
        <v>2550</v>
      </c>
      <c r="H22" s="3">
        <v>0</v>
      </c>
      <c r="I22" s="2">
        <v>69143</v>
      </c>
      <c r="J22" s="2">
        <v>23</v>
      </c>
      <c r="K22" s="1">
        <v>19</v>
      </c>
      <c r="L22" s="2">
        <v>38</v>
      </c>
    </row>
    <row r="23" spans="1:12">
      <c r="A23" s="1" t="s">
        <v>1378</v>
      </c>
      <c r="B23" s="2" t="s">
        <v>46</v>
      </c>
      <c r="C23" s="2">
        <v>920</v>
      </c>
      <c r="D23" s="2">
        <v>581343</v>
      </c>
      <c r="E23" s="2">
        <v>2960</v>
      </c>
      <c r="F23" s="2">
        <v>95498</v>
      </c>
      <c r="G23" s="2">
        <v>1118</v>
      </c>
      <c r="H23" s="3">
        <v>0</v>
      </c>
      <c r="I23" s="2">
        <v>13595</v>
      </c>
      <c r="J23" s="2">
        <v>7</v>
      </c>
      <c r="K23" s="1">
        <v>10.66</v>
      </c>
      <c r="L23" s="2">
        <v>38</v>
      </c>
    </row>
    <row r="24" spans="1:12">
      <c r="A24" s="1" t="s">
        <v>1379</v>
      </c>
      <c r="B24" s="2" t="s">
        <v>46</v>
      </c>
      <c r="C24" s="2">
        <v>920</v>
      </c>
      <c r="D24" s="2">
        <v>2087788</v>
      </c>
      <c r="E24" s="2">
        <v>5249</v>
      </c>
      <c r="F24" s="2">
        <v>509330</v>
      </c>
      <c r="G24" s="2">
        <v>2558</v>
      </c>
      <c r="H24" s="2">
        <v>432507</v>
      </c>
      <c r="I24" s="2">
        <v>104558</v>
      </c>
      <c r="J24" s="2">
        <v>15</v>
      </c>
      <c r="K24" s="1">
        <v>12.66</v>
      </c>
      <c r="L24" s="2">
        <v>38</v>
      </c>
    </row>
    <row r="25" spans="1:12">
      <c r="A25" s="1" t="s">
        <v>1380</v>
      </c>
      <c r="B25" s="2" t="s">
        <v>46</v>
      </c>
      <c r="C25" s="2">
        <v>920</v>
      </c>
      <c r="D25" s="2">
        <v>2669733</v>
      </c>
      <c r="E25" s="2">
        <v>5838</v>
      </c>
      <c r="F25" s="2">
        <v>683415</v>
      </c>
      <c r="G25" s="2">
        <v>2951</v>
      </c>
      <c r="H25" s="3">
        <v>148543</v>
      </c>
      <c r="I25" s="2">
        <v>124747</v>
      </c>
      <c r="J25" s="2">
        <v>13</v>
      </c>
      <c r="K25" s="1">
        <v>16</v>
      </c>
      <c r="L25" s="2">
        <v>18</v>
      </c>
    </row>
    <row r="26" spans="1:12">
      <c r="A26" s="1" t="s">
        <v>1381</v>
      </c>
      <c r="B26" s="2" t="s">
        <v>46</v>
      </c>
      <c r="C26" s="2">
        <v>920</v>
      </c>
      <c r="D26" s="2">
        <v>2012223</v>
      </c>
      <c r="E26" s="2">
        <v>5235</v>
      </c>
      <c r="F26" s="2">
        <v>407287</v>
      </c>
      <c r="G26" s="2">
        <v>2284</v>
      </c>
      <c r="H26" s="3">
        <v>427007</v>
      </c>
      <c r="I26" s="2">
        <v>86728</v>
      </c>
      <c r="J26" s="2">
        <v>11</v>
      </c>
      <c r="K26" s="1">
        <v>12</v>
      </c>
      <c r="L26" s="2">
        <v>18</v>
      </c>
    </row>
    <row r="27" spans="1:12">
      <c r="A27" s="1" t="s">
        <v>1382</v>
      </c>
      <c r="B27" s="2" t="s">
        <v>46</v>
      </c>
      <c r="C27" s="2">
        <v>920</v>
      </c>
      <c r="D27" s="2">
        <v>1729057</v>
      </c>
      <c r="E27" s="2">
        <v>4796</v>
      </c>
      <c r="F27" s="2">
        <v>350443</v>
      </c>
      <c r="G27" s="2">
        <v>2117</v>
      </c>
      <c r="H27" s="3">
        <v>103702</v>
      </c>
      <c r="I27" s="2">
        <v>77156</v>
      </c>
      <c r="J27" s="2">
        <v>11</v>
      </c>
      <c r="K27" s="1">
        <v>13.25</v>
      </c>
      <c r="L27" s="2">
        <v>18</v>
      </c>
    </row>
    <row r="28" spans="1:12">
      <c r="A28" s="1" t="s">
        <v>1383</v>
      </c>
      <c r="B28" s="2" t="s">
        <v>46</v>
      </c>
      <c r="C28" s="2">
        <v>920</v>
      </c>
      <c r="D28" s="2">
        <v>3437188</v>
      </c>
      <c r="E28" s="2">
        <v>6653</v>
      </c>
      <c r="F28" s="2">
        <v>975498</v>
      </c>
      <c r="G28" s="2">
        <v>3527</v>
      </c>
      <c r="H28" s="3">
        <v>0</v>
      </c>
      <c r="I28" s="2">
        <v>162641</v>
      </c>
      <c r="J28" s="2">
        <v>18</v>
      </c>
      <c r="K28" s="1">
        <v>18.25</v>
      </c>
      <c r="L28" s="2">
        <v>36</v>
      </c>
    </row>
    <row r="29" spans="1:12">
      <c r="A29" s="1" t="s">
        <v>1384</v>
      </c>
      <c r="B29" s="2" t="s">
        <v>46</v>
      </c>
      <c r="C29" s="2">
        <v>920</v>
      </c>
      <c r="D29" s="2">
        <v>1188161</v>
      </c>
      <c r="E29" s="2">
        <v>4229</v>
      </c>
      <c r="F29" s="2">
        <v>194980</v>
      </c>
      <c r="G29" s="2">
        <v>1579</v>
      </c>
      <c r="H29" s="3">
        <v>0</v>
      </c>
      <c r="I29" s="2">
        <v>27326</v>
      </c>
      <c r="J29" s="2">
        <v>9</v>
      </c>
      <c r="K29" s="1">
        <v>12</v>
      </c>
      <c r="L29" s="2">
        <v>36</v>
      </c>
    </row>
    <row r="30" spans="1:12">
      <c r="A30" s="1" t="s">
        <v>1385</v>
      </c>
      <c r="B30" s="2" t="s">
        <v>46</v>
      </c>
      <c r="C30" s="2">
        <v>920</v>
      </c>
      <c r="D30" s="2">
        <v>1659011</v>
      </c>
      <c r="E30" s="2">
        <v>4933</v>
      </c>
      <c r="F30" s="2">
        <v>426701</v>
      </c>
      <c r="G30" s="2">
        <v>2332</v>
      </c>
      <c r="H30" s="3">
        <v>28110</v>
      </c>
      <c r="I30" s="2">
        <v>95254</v>
      </c>
      <c r="J30" s="2">
        <v>13</v>
      </c>
      <c r="K30" s="1">
        <v>11.33</v>
      </c>
      <c r="L30" s="2">
        <v>36</v>
      </c>
    </row>
    <row r="31" spans="1:12">
      <c r="A31" s="1" t="s">
        <v>1435</v>
      </c>
      <c r="B31" s="2" t="s">
        <v>310</v>
      </c>
      <c r="C31" s="2">
        <v>500</v>
      </c>
      <c r="D31" s="2">
        <v>1078697</v>
      </c>
      <c r="E31" s="2">
        <v>3699</v>
      </c>
      <c r="F31" s="2">
        <v>361516</v>
      </c>
      <c r="G31" s="2">
        <v>2148</v>
      </c>
      <c r="H31" s="3">
        <v>0</v>
      </c>
      <c r="I31" s="2">
        <v>47245</v>
      </c>
      <c r="J31" s="2">
        <v>21</v>
      </c>
      <c r="K31" s="1">
        <v>17.25</v>
      </c>
      <c r="L31" s="2">
        <v>22</v>
      </c>
    </row>
    <row r="32" spans="1:12">
      <c r="A32" s="1" t="s">
        <v>1386</v>
      </c>
      <c r="B32" s="2" t="s">
        <v>46</v>
      </c>
      <c r="C32" s="2">
        <v>920</v>
      </c>
      <c r="D32" s="2">
        <v>2350485</v>
      </c>
      <c r="E32" s="2">
        <v>5468</v>
      </c>
      <c r="F32" s="2">
        <v>544999</v>
      </c>
      <c r="G32" s="2">
        <v>2635</v>
      </c>
      <c r="H32" s="3">
        <v>734968</v>
      </c>
      <c r="I32" s="2">
        <v>123794</v>
      </c>
      <c r="J32" s="2">
        <v>16</v>
      </c>
      <c r="K32" s="1">
        <v>12.66</v>
      </c>
      <c r="L32" s="2">
        <v>22</v>
      </c>
    </row>
    <row r="33" spans="1:12">
      <c r="A33" s="1" t="s">
        <v>1387</v>
      </c>
      <c r="B33" s="2" t="s">
        <v>46</v>
      </c>
      <c r="C33" s="2">
        <v>920</v>
      </c>
      <c r="D33" s="2">
        <v>2534627</v>
      </c>
      <c r="E33" s="2">
        <v>5711</v>
      </c>
      <c r="F33" s="2">
        <v>672182</v>
      </c>
      <c r="G33" s="2">
        <v>2937</v>
      </c>
      <c r="H33" s="2">
        <v>517852</v>
      </c>
      <c r="I33" s="2">
        <v>134179</v>
      </c>
      <c r="J33" s="2">
        <v>18</v>
      </c>
      <c r="K33" s="1">
        <v>15.25</v>
      </c>
      <c r="L33" s="2">
        <v>22</v>
      </c>
    </row>
    <row r="34" spans="1:12">
      <c r="A34" s="1" t="s">
        <v>1388</v>
      </c>
      <c r="B34" s="2" t="s">
        <v>310</v>
      </c>
      <c r="C34" s="2">
        <v>500</v>
      </c>
      <c r="D34" s="2">
        <v>1168586</v>
      </c>
      <c r="E34" s="2">
        <v>3871</v>
      </c>
      <c r="F34" s="2">
        <v>338330</v>
      </c>
      <c r="G34" s="2">
        <v>2077</v>
      </c>
      <c r="H34" s="2">
        <v>64896</v>
      </c>
      <c r="I34" s="2">
        <v>39512</v>
      </c>
      <c r="J34" s="2">
        <v>20</v>
      </c>
      <c r="K34" s="1">
        <v>18.66</v>
      </c>
      <c r="L34" s="2">
        <v>26</v>
      </c>
    </row>
    <row r="35" spans="1:12">
      <c r="A35" s="1" t="s">
        <v>1389</v>
      </c>
      <c r="B35" s="2" t="s">
        <v>46</v>
      </c>
      <c r="C35" s="2">
        <v>920</v>
      </c>
      <c r="D35" s="2">
        <v>2510939</v>
      </c>
      <c r="E35" s="2">
        <v>5672</v>
      </c>
      <c r="F35" s="2">
        <v>586798</v>
      </c>
      <c r="G35" s="2">
        <v>2739</v>
      </c>
      <c r="H35" s="2">
        <v>334304</v>
      </c>
      <c r="I35" s="2">
        <v>131139</v>
      </c>
      <c r="J35" s="2">
        <v>15</v>
      </c>
      <c r="K35" s="1">
        <v>14.5</v>
      </c>
      <c r="L35" s="2">
        <v>26</v>
      </c>
    </row>
    <row r="36" spans="1:12">
      <c r="A36" s="1" t="s">
        <v>1390</v>
      </c>
      <c r="B36" s="2" t="s">
        <v>310</v>
      </c>
      <c r="C36" s="2">
        <v>500</v>
      </c>
      <c r="D36" s="2">
        <v>957084</v>
      </c>
      <c r="E36" s="2">
        <v>3504</v>
      </c>
      <c r="F36" s="2">
        <v>319905</v>
      </c>
      <c r="G36" s="2">
        <v>2026</v>
      </c>
      <c r="H36" s="2">
        <v>0</v>
      </c>
      <c r="I36" s="2">
        <v>38268</v>
      </c>
      <c r="J36" s="2">
        <v>21</v>
      </c>
      <c r="K36" s="1">
        <v>15.5</v>
      </c>
      <c r="L36" s="2">
        <v>22</v>
      </c>
    </row>
    <row r="37" spans="1:12">
      <c r="A37" s="1" t="s">
        <v>1391</v>
      </c>
      <c r="B37" s="2" t="s">
        <v>46</v>
      </c>
      <c r="C37" s="2">
        <v>920</v>
      </c>
      <c r="D37" s="2">
        <v>2125799</v>
      </c>
      <c r="E37" s="2">
        <v>5612</v>
      </c>
      <c r="F37" s="2">
        <v>396540</v>
      </c>
      <c r="G37" s="2">
        <v>2278</v>
      </c>
      <c r="H37" s="3">
        <v>0</v>
      </c>
      <c r="I37" s="2">
        <v>72034</v>
      </c>
      <c r="J37" s="2">
        <v>13</v>
      </c>
      <c r="K37" s="1">
        <v>12</v>
      </c>
      <c r="L37" s="2">
        <v>22</v>
      </c>
    </row>
    <row r="38" spans="1:12">
      <c r="A38" s="1" t="s">
        <v>1392</v>
      </c>
      <c r="B38" s="2" t="s">
        <v>46</v>
      </c>
      <c r="C38" s="2">
        <v>920</v>
      </c>
      <c r="D38" s="2">
        <v>1965291</v>
      </c>
      <c r="E38" s="2">
        <v>5070</v>
      </c>
      <c r="F38" s="2">
        <v>471687</v>
      </c>
      <c r="G38" s="2">
        <v>2454</v>
      </c>
      <c r="H38" s="3">
        <v>182713</v>
      </c>
      <c r="I38" s="2">
        <v>88255</v>
      </c>
      <c r="J38" s="2">
        <v>14</v>
      </c>
      <c r="K38" s="1">
        <v>13.75</v>
      </c>
      <c r="L38" s="2">
        <v>22</v>
      </c>
    </row>
    <row r="39" spans="1:12">
      <c r="A39" s="1" t="s">
        <v>1393</v>
      </c>
      <c r="B39" s="2" t="s">
        <v>46</v>
      </c>
      <c r="C39" s="2">
        <v>920</v>
      </c>
      <c r="D39" s="2">
        <v>2805914</v>
      </c>
      <c r="E39" s="2">
        <v>5988</v>
      </c>
      <c r="F39" s="2">
        <v>779035</v>
      </c>
      <c r="G39" s="2">
        <v>3161</v>
      </c>
      <c r="H39" s="3">
        <v>507119</v>
      </c>
      <c r="I39" s="2">
        <v>126625</v>
      </c>
      <c r="J39" s="2">
        <v>16</v>
      </c>
      <c r="K39" s="1" t="s">
        <v>287</v>
      </c>
      <c r="L39" s="2">
        <v>32</v>
      </c>
    </row>
    <row r="40" spans="1:12">
      <c r="A40" s="1" t="s">
        <v>1394</v>
      </c>
      <c r="B40" s="2" t="s">
        <v>46</v>
      </c>
      <c r="C40" s="2">
        <v>920</v>
      </c>
      <c r="D40" s="2">
        <v>1702981</v>
      </c>
      <c r="E40" s="2">
        <v>4895</v>
      </c>
      <c r="F40" s="2">
        <v>260096</v>
      </c>
      <c r="G40" s="2">
        <v>1856</v>
      </c>
      <c r="H40" s="3">
        <v>362931</v>
      </c>
      <c r="I40" s="2">
        <v>51661</v>
      </c>
      <c r="J40" s="2">
        <v>10</v>
      </c>
      <c r="K40" s="1">
        <v>14</v>
      </c>
      <c r="L40" s="2">
        <v>32</v>
      </c>
    </row>
    <row r="41" spans="1:12">
      <c r="A41" s="1" t="s">
        <v>1395</v>
      </c>
      <c r="B41" s="2" t="s">
        <v>46</v>
      </c>
      <c r="C41" s="2">
        <v>920</v>
      </c>
      <c r="D41" s="2">
        <v>2478151</v>
      </c>
      <c r="E41" s="2">
        <v>5657</v>
      </c>
      <c r="F41" s="2">
        <v>404075</v>
      </c>
      <c r="G41" s="2">
        <v>2284</v>
      </c>
      <c r="H41" s="3">
        <v>437956</v>
      </c>
      <c r="I41" s="2">
        <v>95858</v>
      </c>
      <c r="J41" s="2">
        <v>12</v>
      </c>
      <c r="K41" s="1">
        <v>13.66</v>
      </c>
      <c r="L41" s="2">
        <v>32</v>
      </c>
    </row>
    <row r="42" spans="1:12">
      <c r="A42" s="1" t="s">
        <v>1396</v>
      </c>
      <c r="B42" s="2" t="s">
        <v>310</v>
      </c>
      <c r="C42" s="2">
        <v>500</v>
      </c>
      <c r="D42" s="2">
        <v>1038786</v>
      </c>
      <c r="E42" s="2">
        <v>3652</v>
      </c>
      <c r="F42" s="2">
        <v>313932</v>
      </c>
      <c r="G42" s="2">
        <v>1999</v>
      </c>
      <c r="H42" s="3">
        <v>205619</v>
      </c>
      <c r="I42" s="2">
        <v>39876</v>
      </c>
      <c r="J42" s="2">
        <v>20</v>
      </c>
      <c r="K42" s="1" t="s">
        <v>287</v>
      </c>
      <c r="L42" s="2">
        <v>14</v>
      </c>
    </row>
    <row r="43" spans="1:12">
      <c r="A43" s="1" t="s">
        <v>1397</v>
      </c>
      <c r="B43" s="2" t="s">
        <v>46</v>
      </c>
      <c r="C43" s="2">
        <v>920</v>
      </c>
      <c r="D43" s="2">
        <v>2205624</v>
      </c>
      <c r="E43" s="2">
        <v>5357</v>
      </c>
      <c r="F43" s="2">
        <v>326829</v>
      </c>
      <c r="G43" s="2">
        <v>2043</v>
      </c>
      <c r="H43" s="3">
        <v>77526</v>
      </c>
      <c r="I43" s="2">
        <v>52057</v>
      </c>
      <c r="J43" s="2">
        <v>13</v>
      </c>
      <c r="K43" s="1">
        <v>13</v>
      </c>
      <c r="L43" s="2">
        <v>14</v>
      </c>
    </row>
    <row r="44" spans="1:12">
      <c r="A44" s="1" t="s">
        <v>1398</v>
      </c>
      <c r="B44" s="2" t="s">
        <v>46</v>
      </c>
      <c r="C44" s="2">
        <v>920</v>
      </c>
      <c r="D44" s="2">
        <v>2361468</v>
      </c>
      <c r="E44" s="2">
        <v>5627</v>
      </c>
      <c r="F44" s="2">
        <v>539496</v>
      </c>
      <c r="G44" s="2">
        <v>2625</v>
      </c>
      <c r="H44" s="3">
        <v>599322</v>
      </c>
      <c r="I44" s="2">
        <v>69370</v>
      </c>
      <c r="J44" s="2">
        <v>17</v>
      </c>
      <c r="K44" s="1">
        <v>14</v>
      </c>
      <c r="L44" s="2">
        <v>14</v>
      </c>
    </row>
    <row r="45" spans="1:12">
      <c r="A45" s="1" t="s">
        <v>1399</v>
      </c>
      <c r="B45" s="2" t="s">
        <v>310</v>
      </c>
      <c r="C45" s="2">
        <v>500</v>
      </c>
      <c r="D45" s="2">
        <v>1154011</v>
      </c>
      <c r="E45" s="2">
        <v>3856</v>
      </c>
      <c r="F45" s="2">
        <v>360001</v>
      </c>
      <c r="G45" s="2">
        <v>2153</v>
      </c>
      <c r="H45" s="3">
        <v>194886</v>
      </c>
      <c r="I45" s="2">
        <v>38112</v>
      </c>
      <c r="J45" s="2">
        <v>24</v>
      </c>
      <c r="K45" s="1" t="s">
        <v>287</v>
      </c>
      <c r="L45" s="2">
        <v>16</v>
      </c>
    </row>
    <row r="46" spans="1:12">
      <c r="A46" s="1" t="s">
        <v>1400</v>
      </c>
      <c r="B46" s="2" t="s">
        <v>46</v>
      </c>
      <c r="C46" s="2">
        <v>920</v>
      </c>
      <c r="D46" s="2">
        <v>2970770</v>
      </c>
      <c r="E46" s="2">
        <v>6568</v>
      </c>
      <c r="F46" s="2">
        <v>683184</v>
      </c>
      <c r="G46" s="2">
        <v>2979</v>
      </c>
      <c r="H46" s="3">
        <v>0</v>
      </c>
      <c r="I46" s="16">
        <v>96360</v>
      </c>
      <c r="J46" s="2">
        <v>17</v>
      </c>
      <c r="K46" s="1">
        <v>14.5</v>
      </c>
      <c r="L46" s="2">
        <v>16</v>
      </c>
    </row>
    <row r="47" spans="1:12">
      <c r="A47" s="1" t="s">
        <v>1401</v>
      </c>
      <c r="B47" s="2" t="s">
        <v>46</v>
      </c>
      <c r="C47" s="2">
        <v>920</v>
      </c>
      <c r="D47" s="2">
        <v>2694748</v>
      </c>
      <c r="E47" s="2">
        <v>5877</v>
      </c>
      <c r="F47" s="2">
        <v>674213</v>
      </c>
      <c r="G47" s="2">
        <v>2948</v>
      </c>
      <c r="H47" s="2">
        <v>275572</v>
      </c>
      <c r="I47" s="2">
        <v>97888</v>
      </c>
      <c r="J47" s="2">
        <v>19</v>
      </c>
      <c r="K47" s="1">
        <v>17</v>
      </c>
      <c r="L47" s="2">
        <v>16</v>
      </c>
    </row>
    <row r="48" spans="1:12">
      <c r="A48" s="1" t="s">
        <v>1402</v>
      </c>
      <c r="B48" s="2" t="s">
        <v>310</v>
      </c>
      <c r="C48" s="2">
        <v>500</v>
      </c>
      <c r="D48" s="2">
        <v>3136790</v>
      </c>
      <c r="E48" s="2">
        <v>6307</v>
      </c>
      <c r="F48" s="2">
        <v>971830</v>
      </c>
      <c r="G48" s="2">
        <v>3519</v>
      </c>
      <c r="H48" s="2">
        <v>652975</v>
      </c>
      <c r="I48" s="2">
        <v>157130</v>
      </c>
      <c r="J48" s="2">
        <v>20</v>
      </c>
      <c r="K48" s="1">
        <v>18</v>
      </c>
      <c r="L48" s="2">
        <v>20</v>
      </c>
    </row>
    <row r="49" spans="1:12">
      <c r="A49" s="1" t="s">
        <v>1403</v>
      </c>
      <c r="B49" s="2" t="s">
        <v>46</v>
      </c>
      <c r="C49" s="2">
        <v>920</v>
      </c>
      <c r="D49" s="2">
        <v>1580846</v>
      </c>
      <c r="E49" s="2">
        <v>4493</v>
      </c>
      <c r="F49" s="2">
        <v>307468</v>
      </c>
      <c r="G49" s="2">
        <v>1988</v>
      </c>
      <c r="H49" s="2">
        <v>91173</v>
      </c>
      <c r="I49" s="2">
        <v>59788</v>
      </c>
      <c r="J49" s="2">
        <v>13</v>
      </c>
      <c r="K49" s="1">
        <v>14.25</v>
      </c>
      <c r="L49" s="2">
        <v>20</v>
      </c>
    </row>
    <row r="50" spans="1:12">
      <c r="A50" s="1" t="s">
        <v>1404</v>
      </c>
      <c r="B50" s="2" t="s">
        <v>46</v>
      </c>
      <c r="C50" s="2">
        <v>920</v>
      </c>
      <c r="D50" s="2">
        <v>1742939</v>
      </c>
      <c r="E50" s="2">
        <v>4730</v>
      </c>
      <c r="F50" s="2">
        <v>394845</v>
      </c>
      <c r="G50" s="2">
        <v>2241</v>
      </c>
      <c r="H50" s="2">
        <v>177778</v>
      </c>
      <c r="I50" s="2">
        <v>83587</v>
      </c>
      <c r="J50" s="2">
        <v>16</v>
      </c>
      <c r="K50" s="1">
        <v>13.5</v>
      </c>
      <c r="L50" s="2">
        <v>20</v>
      </c>
    </row>
    <row r="51" spans="1:12">
      <c r="A51" s="1" t="s">
        <v>1405</v>
      </c>
      <c r="B51" s="2" t="s">
        <v>310</v>
      </c>
      <c r="C51" s="2">
        <v>500</v>
      </c>
      <c r="D51" s="2">
        <v>1080856</v>
      </c>
      <c r="E51" s="2">
        <v>3716</v>
      </c>
      <c r="F51" s="2">
        <v>282842</v>
      </c>
      <c r="G51" s="2">
        <v>1901</v>
      </c>
      <c r="H51" s="2">
        <v>42789</v>
      </c>
      <c r="I51" s="2">
        <v>29239</v>
      </c>
      <c r="J51" s="2">
        <v>14</v>
      </c>
      <c r="K51" s="1">
        <v>17.25</v>
      </c>
      <c r="L51" s="2">
        <v>14</v>
      </c>
    </row>
    <row r="52" spans="1:12">
      <c r="A52" s="1" t="s">
        <v>1406</v>
      </c>
      <c r="B52" s="2" t="s">
        <v>46</v>
      </c>
      <c r="C52" s="2">
        <v>920</v>
      </c>
      <c r="D52" s="2">
        <v>1011350</v>
      </c>
      <c r="E52" s="2">
        <v>3607</v>
      </c>
      <c r="F52" s="2">
        <v>194653</v>
      </c>
      <c r="G52" s="2">
        <v>1578</v>
      </c>
      <c r="H52" s="2">
        <v>0</v>
      </c>
      <c r="I52" s="2">
        <v>34708</v>
      </c>
      <c r="J52" s="2">
        <v>12</v>
      </c>
      <c r="K52" s="1">
        <v>12</v>
      </c>
      <c r="L52" s="2">
        <v>14</v>
      </c>
    </row>
    <row r="53" spans="1:12">
      <c r="A53" s="1" t="s">
        <v>1407</v>
      </c>
      <c r="B53" s="2" t="s">
        <v>46</v>
      </c>
      <c r="C53" s="2">
        <v>920</v>
      </c>
      <c r="D53" s="2">
        <v>1277976</v>
      </c>
      <c r="E53" s="2">
        <v>4211</v>
      </c>
      <c r="F53" s="2">
        <v>336243</v>
      </c>
      <c r="G53" s="2">
        <v>2069</v>
      </c>
      <c r="H53" s="2">
        <v>0</v>
      </c>
      <c r="I53" s="2">
        <v>49622</v>
      </c>
      <c r="J53" s="2">
        <v>13</v>
      </c>
      <c r="K53" s="1">
        <v>11</v>
      </c>
      <c r="L53" s="2">
        <v>14</v>
      </c>
    </row>
    <row r="54" spans="1:12">
      <c r="A54" s="1" t="s">
        <v>1408</v>
      </c>
      <c r="B54" s="2" t="s">
        <v>310</v>
      </c>
      <c r="C54" s="2">
        <v>920</v>
      </c>
      <c r="D54" s="2">
        <v>1276806</v>
      </c>
      <c r="E54" s="2">
        <v>4042</v>
      </c>
      <c r="F54" s="2">
        <v>432744</v>
      </c>
      <c r="G54" s="2">
        <v>2349</v>
      </c>
      <c r="H54" s="2">
        <v>0</v>
      </c>
      <c r="I54" s="2">
        <v>24599</v>
      </c>
      <c r="J54" s="2">
        <v>23</v>
      </c>
      <c r="K54" s="1">
        <v>19.329999999999998</v>
      </c>
      <c r="L54" s="2">
        <v>10</v>
      </c>
    </row>
    <row r="55" spans="1:12">
      <c r="A55" s="1" t="s">
        <v>1409</v>
      </c>
      <c r="B55" s="2" t="s">
        <v>46</v>
      </c>
      <c r="C55" s="2">
        <v>920</v>
      </c>
      <c r="D55" s="2">
        <v>1888097</v>
      </c>
      <c r="E55" s="2">
        <v>5128</v>
      </c>
      <c r="F55" s="2">
        <v>417946</v>
      </c>
      <c r="G55" s="2">
        <v>2369</v>
      </c>
      <c r="H55" s="2">
        <v>0</v>
      </c>
      <c r="I55" s="2">
        <v>46410</v>
      </c>
      <c r="J55" s="2">
        <v>17</v>
      </c>
      <c r="K55" s="1">
        <v>15.25</v>
      </c>
      <c r="L55" s="2">
        <v>10</v>
      </c>
    </row>
    <row r="56" spans="1:12">
      <c r="A56" s="1" t="s">
        <v>1410</v>
      </c>
      <c r="B56" s="2" t="s">
        <v>46</v>
      </c>
      <c r="C56" s="2">
        <v>920</v>
      </c>
      <c r="D56" s="2">
        <v>2704396</v>
      </c>
      <c r="E56" s="2">
        <v>5934</v>
      </c>
      <c r="F56" s="2">
        <v>759784</v>
      </c>
      <c r="G56" s="2">
        <v>3120</v>
      </c>
      <c r="H56" s="2">
        <v>0</v>
      </c>
      <c r="I56" s="2">
        <v>71871</v>
      </c>
      <c r="J56" s="2">
        <v>18</v>
      </c>
      <c r="K56" s="1">
        <v>13.75</v>
      </c>
      <c r="L56" s="2">
        <v>10</v>
      </c>
    </row>
    <row r="57" spans="1:12">
      <c r="A57" s="1" t="s">
        <v>1411</v>
      </c>
      <c r="B57" s="2" t="s">
        <v>46</v>
      </c>
      <c r="C57" s="2">
        <v>920</v>
      </c>
      <c r="D57" s="2">
        <v>2452830</v>
      </c>
      <c r="E57" s="2">
        <v>5578</v>
      </c>
      <c r="F57" s="2">
        <v>595659</v>
      </c>
      <c r="G57" s="2">
        <v>2756</v>
      </c>
      <c r="H57" s="2">
        <v>387648</v>
      </c>
      <c r="I57" s="2">
        <v>129811</v>
      </c>
      <c r="J57" s="2">
        <v>14</v>
      </c>
      <c r="K57" s="1" t="s">
        <v>287</v>
      </c>
      <c r="L57" s="2">
        <v>20</v>
      </c>
    </row>
    <row r="58" spans="1:12">
      <c r="A58" s="1" t="s">
        <v>1412</v>
      </c>
      <c r="B58" s="2" t="s">
        <v>46</v>
      </c>
      <c r="C58" s="2">
        <v>920</v>
      </c>
      <c r="D58" s="2">
        <v>2506236</v>
      </c>
      <c r="E58" s="2">
        <v>5660</v>
      </c>
      <c r="F58" s="2">
        <v>498436</v>
      </c>
      <c r="G58" s="2">
        <v>2527</v>
      </c>
      <c r="H58" s="2">
        <v>68263</v>
      </c>
      <c r="I58" s="2">
        <v>84694</v>
      </c>
      <c r="J58" s="2">
        <v>13</v>
      </c>
      <c r="K58" s="1">
        <v>12.75</v>
      </c>
      <c r="L58" s="2">
        <v>20</v>
      </c>
    </row>
    <row r="59" spans="1:12">
      <c r="A59" s="1" t="s">
        <v>1413</v>
      </c>
      <c r="B59" s="2" t="s">
        <v>46</v>
      </c>
      <c r="C59" s="2">
        <v>920</v>
      </c>
      <c r="D59" s="2">
        <v>1876490</v>
      </c>
      <c r="E59" s="2">
        <v>4899</v>
      </c>
      <c r="F59" s="2">
        <v>423678</v>
      </c>
      <c r="G59" s="2">
        <v>2324</v>
      </c>
      <c r="H59" s="2">
        <v>293921</v>
      </c>
      <c r="I59" s="2">
        <v>72033</v>
      </c>
      <c r="J59" s="2">
        <v>13</v>
      </c>
      <c r="K59" s="1">
        <v>13.25</v>
      </c>
      <c r="L59" s="2">
        <v>20</v>
      </c>
    </row>
    <row r="60" spans="1:12">
      <c r="A60" s="1" t="s">
        <v>1414</v>
      </c>
      <c r="B60" s="2" t="s">
        <v>46</v>
      </c>
      <c r="C60" s="2">
        <v>920</v>
      </c>
      <c r="D60" s="2">
        <v>3608243</v>
      </c>
      <c r="E60" s="2">
        <v>6763</v>
      </c>
      <c r="F60" s="2">
        <v>1011592</v>
      </c>
      <c r="G60" s="2">
        <v>3594</v>
      </c>
      <c r="H60" s="2">
        <v>539572</v>
      </c>
      <c r="I60" s="2">
        <v>130952</v>
      </c>
      <c r="J60" s="2">
        <v>17</v>
      </c>
      <c r="K60" s="1">
        <v>19</v>
      </c>
      <c r="L60" s="2">
        <v>24</v>
      </c>
    </row>
    <row r="61" spans="1:12">
      <c r="A61" s="1" t="s">
        <v>1415</v>
      </c>
      <c r="B61" s="2" t="s">
        <v>46</v>
      </c>
      <c r="C61" s="2">
        <v>920</v>
      </c>
      <c r="D61" s="2">
        <v>1743731</v>
      </c>
      <c r="E61" s="2">
        <v>4726</v>
      </c>
      <c r="F61" s="2">
        <v>256676</v>
      </c>
      <c r="G61" s="2">
        <v>1816</v>
      </c>
      <c r="H61" s="2">
        <v>72109</v>
      </c>
      <c r="I61" s="2">
        <v>52057</v>
      </c>
      <c r="J61" s="2">
        <v>12</v>
      </c>
      <c r="K61" s="1">
        <v>15</v>
      </c>
      <c r="L61" s="2">
        <v>24</v>
      </c>
    </row>
    <row r="62" spans="1:12">
      <c r="A62" s="1" t="s">
        <v>1416</v>
      </c>
      <c r="B62" s="2" t="s">
        <v>46</v>
      </c>
      <c r="C62" s="2">
        <v>920</v>
      </c>
      <c r="D62" s="2">
        <v>2183856</v>
      </c>
      <c r="E62" s="2">
        <v>5308</v>
      </c>
      <c r="F62" s="2">
        <v>439060</v>
      </c>
      <c r="G62" s="2">
        <v>2367</v>
      </c>
      <c r="H62" s="2">
        <v>482559</v>
      </c>
      <c r="I62" s="2">
        <v>87593</v>
      </c>
      <c r="J62" s="2">
        <v>13</v>
      </c>
      <c r="K62" s="1">
        <v>14.67</v>
      </c>
      <c r="L62" s="2">
        <v>24</v>
      </c>
    </row>
    <row r="63" spans="1:12">
      <c r="A63" s="1" t="s">
        <v>1417</v>
      </c>
      <c r="B63" s="2" t="s">
        <v>310</v>
      </c>
      <c r="C63" s="2">
        <v>500</v>
      </c>
      <c r="D63" s="2">
        <v>1399364</v>
      </c>
      <c r="E63" s="2">
        <v>4210</v>
      </c>
      <c r="F63" s="2">
        <v>472701</v>
      </c>
      <c r="G63" s="2">
        <v>2454</v>
      </c>
      <c r="H63" s="2">
        <v>0</v>
      </c>
      <c r="I63" s="2">
        <v>66993</v>
      </c>
      <c r="J63" s="2">
        <v>19</v>
      </c>
      <c r="K63" s="1">
        <v>18.25</v>
      </c>
      <c r="L63" s="2">
        <v>30</v>
      </c>
    </row>
    <row r="64" spans="1:12">
      <c r="A64" s="1" t="s">
        <v>1418</v>
      </c>
      <c r="B64" s="2" t="s">
        <v>46</v>
      </c>
      <c r="C64" s="2">
        <v>920</v>
      </c>
      <c r="D64" s="2">
        <v>819185</v>
      </c>
      <c r="E64" s="2">
        <v>4208</v>
      </c>
      <c r="F64" s="2">
        <v>157088</v>
      </c>
      <c r="G64" s="2">
        <v>1433</v>
      </c>
      <c r="H64" s="2">
        <v>0</v>
      </c>
      <c r="I64" s="2">
        <v>21998</v>
      </c>
      <c r="J64" s="2">
        <v>10</v>
      </c>
      <c r="K64" s="1">
        <v>12.25</v>
      </c>
      <c r="L64" s="2">
        <v>30</v>
      </c>
    </row>
    <row r="65" spans="1:12">
      <c r="A65" s="1" t="s">
        <v>1419</v>
      </c>
      <c r="B65" s="2" t="s">
        <v>46</v>
      </c>
      <c r="C65" s="2">
        <v>920</v>
      </c>
      <c r="D65" s="2">
        <v>3030948</v>
      </c>
      <c r="E65" s="2">
        <v>6562</v>
      </c>
      <c r="F65" s="2">
        <v>688814</v>
      </c>
      <c r="G65" s="2">
        <v>2965</v>
      </c>
      <c r="H65" s="2">
        <v>17746</v>
      </c>
      <c r="I65" s="2">
        <v>130540</v>
      </c>
      <c r="J65" s="2">
        <v>15</v>
      </c>
      <c r="K65" s="1" t="s">
        <v>287</v>
      </c>
      <c r="L65" s="2">
        <v>30</v>
      </c>
    </row>
    <row r="66" spans="1:12">
      <c r="A66" s="1" t="s">
        <v>1420</v>
      </c>
      <c r="B66" s="2" t="s">
        <v>310</v>
      </c>
      <c r="C66" s="2">
        <v>500</v>
      </c>
      <c r="D66" s="2">
        <v>1120014</v>
      </c>
      <c r="E66" s="2">
        <v>3765</v>
      </c>
      <c r="F66" s="2">
        <v>349989</v>
      </c>
      <c r="G66" s="2">
        <v>2110</v>
      </c>
      <c r="H66" s="2">
        <v>8084</v>
      </c>
      <c r="I66" s="2">
        <v>49236</v>
      </c>
      <c r="J66" s="2">
        <v>19</v>
      </c>
      <c r="K66" s="1">
        <v>18.25</v>
      </c>
      <c r="L66" s="2">
        <v>34</v>
      </c>
    </row>
    <row r="67" spans="1:12">
      <c r="A67" s="1" t="s">
        <v>1421</v>
      </c>
      <c r="B67" s="2" t="s">
        <v>46</v>
      </c>
      <c r="C67" s="2">
        <v>920</v>
      </c>
      <c r="D67" s="2">
        <v>1324145</v>
      </c>
      <c r="E67" s="2">
        <v>4340</v>
      </c>
      <c r="F67" s="2">
        <v>198927</v>
      </c>
      <c r="G67" s="2">
        <v>1627</v>
      </c>
      <c r="H67" s="2">
        <v>0</v>
      </c>
      <c r="I67" s="2">
        <v>43344</v>
      </c>
      <c r="J67" s="2">
        <v>9</v>
      </c>
      <c r="K67" s="1">
        <v>14.33</v>
      </c>
      <c r="L67" s="2">
        <v>34</v>
      </c>
    </row>
    <row r="68" spans="1:12">
      <c r="A68" s="1" t="s">
        <v>1422</v>
      </c>
      <c r="B68" s="2" t="s">
        <v>46</v>
      </c>
      <c r="C68" s="2">
        <v>920</v>
      </c>
      <c r="D68" s="2">
        <v>2329465</v>
      </c>
      <c r="E68" s="2">
        <v>5468</v>
      </c>
      <c r="F68" s="2">
        <v>547479</v>
      </c>
      <c r="G68" s="2">
        <v>2646</v>
      </c>
      <c r="H68" s="2">
        <v>361908</v>
      </c>
      <c r="I68" s="2">
        <v>121835</v>
      </c>
      <c r="J68" s="2">
        <v>16</v>
      </c>
      <c r="K68" s="1">
        <v>14.5</v>
      </c>
      <c r="L68" s="2">
        <v>34</v>
      </c>
    </row>
    <row r="69" spans="1:12">
      <c r="A69" s="1" t="s">
        <v>1423</v>
      </c>
      <c r="B69" s="2" t="s">
        <v>310</v>
      </c>
      <c r="C69" s="2">
        <v>500</v>
      </c>
      <c r="D69" s="2">
        <v>1452389</v>
      </c>
      <c r="E69" s="2">
        <v>4314</v>
      </c>
      <c r="F69" s="2">
        <v>503793</v>
      </c>
      <c r="G69" s="2">
        <v>2549</v>
      </c>
      <c r="H69" s="2">
        <v>0</v>
      </c>
      <c r="I69" s="2">
        <v>35905</v>
      </c>
      <c r="J69" s="2">
        <v>25</v>
      </c>
      <c r="K69" s="1">
        <v>18.25</v>
      </c>
      <c r="L69" s="2">
        <v>10</v>
      </c>
    </row>
    <row r="70" spans="1:12">
      <c r="A70" s="1" t="s">
        <v>1424</v>
      </c>
      <c r="B70" s="2" t="s">
        <v>46</v>
      </c>
      <c r="C70" s="2">
        <v>920</v>
      </c>
      <c r="D70" s="2">
        <v>2536495</v>
      </c>
      <c r="E70" s="2">
        <v>5705</v>
      </c>
      <c r="F70" s="2">
        <v>652600</v>
      </c>
      <c r="G70" s="2">
        <v>2926</v>
      </c>
      <c r="H70" s="2">
        <v>0</v>
      </c>
      <c r="I70" s="2">
        <v>68809</v>
      </c>
      <c r="J70" s="2">
        <v>17</v>
      </c>
      <c r="K70" s="1">
        <v>13.75</v>
      </c>
      <c r="L70" s="2">
        <v>10</v>
      </c>
    </row>
    <row r="71" spans="1:12">
      <c r="A71" s="1" t="s">
        <v>1425</v>
      </c>
      <c r="B71" s="2" t="s">
        <v>46</v>
      </c>
      <c r="C71" s="2">
        <v>920</v>
      </c>
      <c r="D71" s="2">
        <v>2756528</v>
      </c>
      <c r="E71" s="2">
        <v>5979</v>
      </c>
      <c r="F71" s="2">
        <v>722466</v>
      </c>
      <c r="G71" s="2">
        <v>3045</v>
      </c>
      <c r="H71" s="2">
        <v>147456</v>
      </c>
      <c r="I71" s="2">
        <v>93268</v>
      </c>
      <c r="J71" s="2">
        <v>17</v>
      </c>
      <c r="K71" s="1">
        <v>15</v>
      </c>
      <c r="L71" s="2">
        <v>10</v>
      </c>
    </row>
    <row r="72" spans="1:12">
      <c r="A72" s="1" t="s">
        <v>1426</v>
      </c>
      <c r="B72" s="2" t="s">
        <v>310</v>
      </c>
      <c r="C72" s="2">
        <v>500</v>
      </c>
      <c r="D72" s="2">
        <v>1524632</v>
      </c>
      <c r="E72" s="2">
        <v>4405</v>
      </c>
      <c r="F72" s="2">
        <v>460181</v>
      </c>
      <c r="G72" s="2">
        <v>2425</v>
      </c>
      <c r="H72" s="2">
        <v>177010</v>
      </c>
      <c r="I72" s="2">
        <v>50992</v>
      </c>
      <c r="J72" s="2">
        <v>21</v>
      </c>
      <c r="K72" s="1">
        <v>20.5</v>
      </c>
      <c r="L72" s="2">
        <v>22</v>
      </c>
    </row>
    <row r="73" spans="1:12">
      <c r="A73" s="1" t="s">
        <v>1427</v>
      </c>
      <c r="B73" s="2" t="s">
        <v>46</v>
      </c>
      <c r="C73" s="2">
        <v>920</v>
      </c>
      <c r="D73" s="2">
        <v>1694652</v>
      </c>
      <c r="E73" s="2">
        <v>4640</v>
      </c>
      <c r="F73" s="2">
        <v>329434</v>
      </c>
      <c r="G73" s="2">
        <v>2048</v>
      </c>
      <c r="H73" s="2">
        <v>0</v>
      </c>
      <c r="I73" s="2" t="s">
        <v>287</v>
      </c>
      <c r="J73" s="2">
        <v>13</v>
      </c>
      <c r="K73" s="1">
        <v>14.75</v>
      </c>
      <c r="L73" s="2">
        <v>22</v>
      </c>
    </row>
    <row r="74" spans="1:12">
      <c r="A74" s="1" t="s">
        <v>1428</v>
      </c>
      <c r="B74" s="2" t="s">
        <v>46</v>
      </c>
      <c r="C74" s="2">
        <v>920</v>
      </c>
      <c r="D74" s="2">
        <v>2273357</v>
      </c>
      <c r="E74" s="2">
        <v>5371</v>
      </c>
      <c r="F74" s="2">
        <v>565941</v>
      </c>
      <c r="G74" s="2">
        <v>2692</v>
      </c>
      <c r="H74" s="2">
        <v>87158</v>
      </c>
      <c r="I74" s="2">
        <v>101205</v>
      </c>
      <c r="J74" s="2">
        <v>15</v>
      </c>
      <c r="K74" s="1">
        <v>15</v>
      </c>
      <c r="L74" s="2">
        <v>22</v>
      </c>
    </row>
    <row r="75" spans="1:12">
      <c r="A75" s="1" t="s">
        <v>1429</v>
      </c>
      <c r="B75" s="2" t="s">
        <v>310</v>
      </c>
      <c r="C75" s="2">
        <v>500</v>
      </c>
      <c r="D75" s="2">
        <v>998281</v>
      </c>
      <c r="E75" s="2">
        <v>3557</v>
      </c>
      <c r="F75" s="2">
        <v>287241</v>
      </c>
      <c r="G75" s="2">
        <v>1913</v>
      </c>
      <c r="H75" s="2">
        <v>0</v>
      </c>
      <c r="I75" s="2">
        <v>31146</v>
      </c>
      <c r="J75" s="2">
        <v>15</v>
      </c>
      <c r="K75" s="1">
        <v>18</v>
      </c>
      <c r="L75" s="2">
        <v>24</v>
      </c>
    </row>
    <row r="76" spans="1:12">
      <c r="A76" s="1" t="s">
        <v>1430</v>
      </c>
      <c r="B76" s="2" t="s">
        <v>46</v>
      </c>
      <c r="C76" s="2">
        <v>920</v>
      </c>
      <c r="D76" s="2">
        <v>1995003</v>
      </c>
      <c r="E76" s="2">
        <v>5037</v>
      </c>
      <c r="F76" s="2">
        <v>300202</v>
      </c>
      <c r="G76" s="2">
        <v>1963</v>
      </c>
      <c r="H76" s="2">
        <v>0</v>
      </c>
      <c r="I76" s="2">
        <v>57647</v>
      </c>
      <c r="J76" s="2">
        <v>11</v>
      </c>
      <c r="K76" s="1">
        <v>12.75</v>
      </c>
      <c r="L76" s="2">
        <v>24</v>
      </c>
    </row>
    <row r="77" spans="1:12">
      <c r="A77" s="1" t="s">
        <v>1431</v>
      </c>
      <c r="B77" s="2" t="s">
        <v>46</v>
      </c>
      <c r="C77" s="2">
        <v>920</v>
      </c>
      <c r="D77" s="2">
        <v>1934982</v>
      </c>
      <c r="E77" s="2">
        <v>5025</v>
      </c>
      <c r="F77" s="2">
        <v>419117</v>
      </c>
      <c r="G77" s="2">
        <v>2306</v>
      </c>
      <c r="H77" s="2">
        <v>326640</v>
      </c>
      <c r="I77" s="2">
        <v>72866</v>
      </c>
      <c r="J77" s="13">
        <v>13</v>
      </c>
      <c r="K77" s="2">
        <v>13</v>
      </c>
      <c r="L77" s="2">
        <v>24</v>
      </c>
    </row>
    <row r="78" spans="1:12">
      <c r="A78" s="1" t="s">
        <v>1432</v>
      </c>
      <c r="B78" s="2" t="s">
        <v>310</v>
      </c>
      <c r="C78" s="2">
        <v>500</v>
      </c>
      <c r="D78" s="2">
        <v>1281530</v>
      </c>
      <c r="E78" s="2">
        <v>4030</v>
      </c>
      <c r="F78" s="2">
        <v>421441</v>
      </c>
      <c r="G78" s="2">
        <v>2313</v>
      </c>
      <c r="H78" s="2">
        <v>147916</v>
      </c>
      <c r="I78" s="2">
        <v>41874</v>
      </c>
      <c r="J78" s="13">
        <v>18</v>
      </c>
      <c r="K78" s="2" t="s">
        <v>287</v>
      </c>
      <c r="L78" s="2">
        <v>22</v>
      </c>
    </row>
    <row r="79" spans="1:12">
      <c r="A79" s="1" t="s">
        <v>1433</v>
      </c>
      <c r="B79" s="2" t="s">
        <v>46</v>
      </c>
      <c r="C79" s="2">
        <v>920</v>
      </c>
      <c r="D79" s="2">
        <v>1811607</v>
      </c>
      <c r="E79" s="2">
        <v>4946</v>
      </c>
      <c r="F79" s="2">
        <v>374834</v>
      </c>
      <c r="G79" s="2">
        <v>2200</v>
      </c>
      <c r="H79" s="2">
        <v>702558</v>
      </c>
      <c r="I79" s="2" t="s">
        <v>287</v>
      </c>
      <c r="J79" s="13">
        <v>12</v>
      </c>
      <c r="K79" s="2" t="s">
        <v>287</v>
      </c>
      <c r="L79" s="2">
        <v>22</v>
      </c>
    </row>
    <row r="80" spans="1:12">
      <c r="A80" s="1" t="s">
        <v>1434</v>
      </c>
      <c r="B80" s="2" t="s">
        <v>46</v>
      </c>
      <c r="C80" s="2">
        <v>920</v>
      </c>
      <c r="D80" s="2">
        <v>2244756</v>
      </c>
      <c r="E80" s="2">
        <v>5369</v>
      </c>
      <c r="F80" s="2">
        <v>476761</v>
      </c>
      <c r="G80" s="2">
        <v>2464</v>
      </c>
      <c r="H80" s="2">
        <v>182102</v>
      </c>
      <c r="I80" s="2">
        <v>92388</v>
      </c>
      <c r="J80" s="13">
        <v>13</v>
      </c>
      <c r="K80" s="2">
        <v>14.5</v>
      </c>
      <c r="L80" s="2">
        <v>22</v>
      </c>
    </row>
    <row r="81" spans="1:12">
      <c r="A81" s="1" t="s">
        <v>1133</v>
      </c>
      <c r="B81" s="2" t="s">
        <v>46</v>
      </c>
      <c r="C81" s="2">
        <v>920</v>
      </c>
      <c r="D81" s="2">
        <v>1778826</v>
      </c>
      <c r="E81" s="43">
        <v>4806.3919999999998</v>
      </c>
      <c r="F81" s="2">
        <v>384328</v>
      </c>
      <c r="G81" s="2">
        <v>2218</v>
      </c>
      <c r="H81" s="2">
        <v>466844</v>
      </c>
      <c r="I81" s="2">
        <v>35958</v>
      </c>
      <c r="J81" s="13">
        <v>14</v>
      </c>
      <c r="K81" s="2">
        <v>15</v>
      </c>
      <c r="L81" s="2"/>
    </row>
    <row r="82" spans="1:12">
      <c r="A82" s="1" t="s">
        <v>1134</v>
      </c>
      <c r="B82" s="2" t="s">
        <v>46</v>
      </c>
      <c r="C82" s="2">
        <v>920</v>
      </c>
      <c r="D82" s="2">
        <v>1426959</v>
      </c>
      <c r="E82" s="43">
        <v>4335.6719999999996</v>
      </c>
      <c r="F82" s="2">
        <v>184527</v>
      </c>
      <c r="G82" s="2">
        <v>1540</v>
      </c>
      <c r="H82" s="2">
        <v>263418</v>
      </c>
      <c r="I82" s="2">
        <v>30237</v>
      </c>
      <c r="J82" s="13">
        <v>9</v>
      </c>
      <c r="K82" s="2">
        <v>15</v>
      </c>
      <c r="L82" s="2"/>
    </row>
    <row r="83" spans="1:12">
      <c r="A83" s="1" t="s">
        <v>1135</v>
      </c>
      <c r="B83" s="2" t="s">
        <v>46</v>
      </c>
      <c r="C83" s="2">
        <v>920</v>
      </c>
      <c r="D83" s="2">
        <v>1387080</v>
      </c>
      <c r="E83" s="43">
        <v>4317.0590000000002</v>
      </c>
      <c r="F83" s="2">
        <v>237515</v>
      </c>
      <c r="G83" s="2">
        <v>1761</v>
      </c>
      <c r="H83" s="2">
        <v>392192</v>
      </c>
      <c r="I83" s="2">
        <v>42533</v>
      </c>
      <c r="J83" s="13">
        <v>11</v>
      </c>
      <c r="K83" s="2">
        <v>14</v>
      </c>
      <c r="L83" s="2"/>
    </row>
    <row r="84" spans="1:12">
      <c r="A84" s="1" t="s">
        <v>397</v>
      </c>
      <c r="B84" s="2" t="s">
        <v>46</v>
      </c>
      <c r="C84" s="2">
        <v>920</v>
      </c>
      <c r="D84" s="2">
        <v>1128023</v>
      </c>
      <c r="E84" s="2">
        <v>3792</v>
      </c>
      <c r="F84" s="2">
        <v>215398</v>
      </c>
      <c r="G84" s="2">
        <v>1659</v>
      </c>
      <c r="H84" s="2">
        <v>393997</v>
      </c>
      <c r="I84" s="2">
        <v>14132</v>
      </c>
      <c r="J84" s="13">
        <v>19</v>
      </c>
      <c r="K84" s="43">
        <v>21.75</v>
      </c>
      <c r="L84" s="2"/>
    </row>
    <row r="85" spans="1:12">
      <c r="A85" s="1" t="s">
        <v>398</v>
      </c>
      <c r="B85" s="2" t="s">
        <v>46</v>
      </c>
      <c r="C85" s="2">
        <v>920</v>
      </c>
      <c r="D85" s="2">
        <v>3224025</v>
      </c>
      <c r="E85" s="2">
        <v>6471</v>
      </c>
      <c r="F85" s="2">
        <v>503936</v>
      </c>
      <c r="G85" s="2">
        <v>2535</v>
      </c>
      <c r="H85" s="2">
        <v>1019395</v>
      </c>
      <c r="I85" s="2">
        <v>75713</v>
      </c>
      <c r="J85" s="13">
        <v>15</v>
      </c>
      <c r="K85" s="43">
        <v>18.75</v>
      </c>
      <c r="L85" s="2"/>
    </row>
    <row r="86" spans="1:12">
      <c r="A86" s="1" t="s">
        <v>399</v>
      </c>
      <c r="B86" s="2" t="s">
        <v>46</v>
      </c>
      <c r="C86" s="2">
        <v>920</v>
      </c>
      <c r="D86" s="2">
        <v>1034367</v>
      </c>
      <c r="E86" s="2">
        <v>3678</v>
      </c>
      <c r="F86" s="2">
        <v>172267</v>
      </c>
      <c r="G86" s="2">
        <v>1487</v>
      </c>
      <c r="H86" s="2">
        <v>394527</v>
      </c>
      <c r="I86" s="2">
        <v>16626</v>
      </c>
      <c r="J86" s="13">
        <v>16</v>
      </c>
      <c r="K86" s="43">
        <v>20</v>
      </c>
      <c r="L86" s="2"/>
    </row>
    <row r="87" spans="1:12">
      <c r="A87" s="1" t="s">
        <v>822</v>
      </c>
      <c r="B87" s="2" t="s">
        <v>46</v>
      </c>
      <c r="C87" s="2">
        <v>920</v>
      </c>
      <c r="D87" s="2">
        <v>3413037</v>
      </c>
      <c r="E87" s="2">
        <v>6582</v>
      </c>
      <c r="F87" s="2">
        <v>639895</v>
      </c>
      <c r="G87" s="2">
        <v>2879</v>
      </c>
      <c r="H87" s="2">
        <v>668030</v>
      </c>
      <c r="I87" s="2">
        <v>46722</v>
      </c>
      <c r="J87" s="13">
        <v>14</v>
      </c>
      <c r="K87" s="2">
        <v>20</v>
      </c>
      <c r="L87" s="2"/>
    </row>
    <row r="88" spans="1:12">
      <c r="A88" s="1" t="s">
        <v>823</v>
      </c>
      <c r="B88" s="2" t="s">
        <v>46</v>
      </c>
      <c r="C88" s="2">
        <v>920</v>
      </c>
      <c r="D88" s="2">
        <v>2832795</v>
      </c>
      <c r="E88" s="2">
        <v>6020</v>
      </c>
      <c r="F88" s="2">
        <v>556940</v>
      </c>
      <c r="G88" s="2">
        <v>2662</v>
      </c>
      <c r="H88" s="2">
        <v>0</v>
      </c>
      <c r="I88" s="2">
        <v>47545</v>
      </c>
      <c r="J88" s="13">
        <v>14</v>
      </c>
      <c r="K88" s="2">
        <v>19</v>
      </c>
      <c r="L88" s="2"/>
    </row>
    <row r="89" spans="1:12">
      <c r="A89" s="1" t="s">
        <v>824</v>
      </c>
      <c r="B89" s="2" t="s">
        <v>46</v>
      </c>
      <c r="C89" s="2">
        <v>920</v>
      </c>
      <c r="D89" s="2">
        <v>3446370</v>
      </c>
      <c r="E89" s="2">
        <v>6626</v>
      </c>
      <c r="F89" s="2">
        <v>616952</v>
      </c>
      <c r="G89" s="2">
        <v>2816</v>
      </c>
      <c r="H89" s="2">
        <v>10940</v>
      </c>
      <c r="I89" s="2">
        <v>48298</v>
      </c>
      <c r="J89" s="13">
        <v>14</v>
      </c>
      <c r="K89" s="2">
        <v>18</v>
      </c>
      <c r="L89" s="2"/>
    </row>
    <row r="90" spans="1:12">
      <c r="A90" s="1" t="s">
        <v>568</v>
      </c>
      <c r="B90" s="2" t="s">
        <v>46</v>
      </c>
      <c r="C90" s="2">
        <v>920</v>
      </c>
      <c r="D90" s="2">
        <v>2456523</v>
      </c>
      <c r="E90" s="2">
        <v>5636.69</v>
      </c>
      <c r="F90" s="2">
        <v>482235</v>
      </c>
      <c r="G90" s="2">
        <v>2486.5659999999998</v>
      </c>
      <c r="H90" s="2">
        <v>993594</v>
      </c>
      <c r="I90" s="2">
        <v>40449</v>
      </c>
      <c r="J90" s="13">
        <v>15</v>
      </c>
      <c r="K90" s="43">
        <v>24</v>
      </c>
      <c r="L90" s="2"/>
    </row>
    <row r="91" spans="1:12">
      <c r="A91" s="1" t="s">
        <v>569</v>
      </c>
      <c r="B91" s="2" t="s">
        <v>46</v>
      </c>
      <c r="C91" s="2">
        <v>920</v>
      </c>
      <c r="D91" s="2">
        <v>1511814</v>
      </c>
      <c r="E91" s="2">
        <v>4393.9639999999999</v>
      </c>
      <c r="F91" s="2">
        <v>231147</v>
      </c>
      <c r="G91" s="2">
        <v>1718.1320000000001</v>
      </c>
      <c r="H91" s="13">
        <v>340778</v>
      </c>
      <c r="I91" s="2">
        <v>29366</v>
      </c>
      <c r="J91" s="13">
        <v>12</v>
      </c>
      <c r="K91" s="43">
        <v>16</v>
      </c>
      <c r="L91" s="2"/>
    </row>
    <row r="92" spans="1:12">
      <c r="A92" s="1" t="s">
        <v>570</v>
      </c>
      <c r="B92" s="2" t="s">
        <v>46</v>
      </c>
      <c r="C92" s="2">
        <v>920</v>
      </c>
      <c r="D92" s="2">
        <v>1678923</v>
      </c>
      <c r="E92" s="2">
        <v>4624.1059999999998</v>
      </c>
      <c r="F92" s="2">
        <v>268277</v>
      </c>
      <c r="G92" s="2">
        <v>1848.087</v>
      </c>
      <c r="H92" s="13">
        <v>541674</v>
      </c>
      <c r="I92" s="2">
        <v>38053</v>
      </c>
      <c r="J92" s="13">
        <v>13</v>
      </c>
      <c r="K92" s="43">
        <v>17</v>
      </c>
      <c r="L92" s="2"/>
    </row>
    <row r="93" spans="1:12">
      <c r="A93" s="1" t="s">
        <v>1136</v>
      </c>
      <c r="B93" s="2" t="s">
        <v>46</v>
      </c>
      <c r="C93" s="2">
        <v>920</v>
      </c>
      <c r="D93" s="2">
        <v>2872830</v>
      </c>
      <c r="E93" s="43">
        <v>6140.2370000000001</v>
      </c>
      <c r="F93" s="2">
        <v>525841</v>
      </c>
      <c r="G93" s="2">
        <v>2592</v>
      </c>
      <c r="H93" s="13">
        <v>825004</v>
      </c>
      <c r="I93" s="2">
        <v>45703</v>
      </c>
      <c r="J93" s="13">
        <v>15</v>
      </c>
      <c r="K93" s="2">
        <v>19</v>
      </c>
      <c r="L93" s="2"/>
    </row>
    <row r="94" spans="1:12">
      <c r="A94" s="1" t="s">
        <v>1137</v>
      </c>
      <c r="B94" s="2" t="s">
        <v>46</v>
      </c>
      <c r="C94" s="2">
        <v>920</v>
      </c>
      <c r="D94" s="2">
        <v>2937384</v>
      </c>
      <c r="E94" s="43">
        <v>6098.8249999999998</v>
      </c>
      <c r="F94" s="2">
        <v>400284</v>
      </c>
      <c r="G94" s="2">
        <v>2264</v>
      </c>
      <c r="H94" s="13">
        <v>0</v>
      </c>
      <c r="I94" s="2">
        <v>43808</v>
      </c>
      <c r="J94" s="13">
        <v>12</v>
      </c>
      <c r="K94" s="2">
        <v>18</v>
      </c>
      <c r="L94" s="2"/>
    </row>
    <row r="95" spans="1:12">
      <c r="A95" s="1" t="s">
        <v>1138</v>
      </c>
      <c r="B95" s="2" t="s">
        <v>46</v>
      </c>
      <c r="C95" s="2">
        <v>920</v>
      </c>
      <c r="D95" s="2">
        <v>3028005</v>
      </c>
      <c r="E95" s="43">
        <v>6173.8379999999997</v>
      </c>
      <c r="F95" s="2">
        <v>458970</v>
      </c>
      <c r="G95" s="2">
        <v>2430</v>
      </c>
      <c r="H95" s="13">
        <v>645241</v>
      </c>
      <c r="I95" s="2">
        <v>39809</v>
      </c>
      <c r="J95" s="13">
        <v>14</v>
      </c>
      <c r="K95" s="2">
        <v>18</v>
      </c>
      <c r="L95" s="2"/>
    </row>
    <row r="96" spans="1:12">
      <c r="A96" s="1" t="s">
        <v>825</v>
      </c>
      <c r="B96" s="2" t="s">
        <v>46</v>
      </c>
      <c r="C96" s="2">
        <v>920</v>
      </c>
      <c r="D96" s="2">
        <v>1764771</v>
      </c>
      <c r="E96" s="2">
        <v>4742</v>
      </c>
      <c r="F96" s="2">
        <v>262305</v>
      </c>
      <c r="G96" s="2">
        <v>1827</v>
      </c>
      <c r="H96" s="13">
        <v>648324</v>
      </c>
      <c r="I96" s="2">
        <v>41366</v>
      </c>
      <c r="J96" s="13">
        <v>10</v>
      </c>
      <c r="K96" s="2">
        <v>13</v>
      </c>
      <c r="L96" s="2"/>
    </row>
    <row r="97" spans="1:12">
      <c r="A97" s="1" t="s">
        <v>826</v>
      </c>
      <c r="B97" s="2" t="s">
        <v>46</v>
      </c>
      <c r="C97" s="2">
        <v>920</v>
      </c>
      <c r="D97" s="2">
        <v>1704612</v>
      </c>
      <c r="E97" s="2">
        <v>4663</v>
      </c>
      <c r="F97" s="2">
        <v>189682</v>
      </c>
      <c r="G97" s="2">
        <v>1552</v>
      </c>
      <c r="H97" s="13">
        <v>190494</v>
      </c>
      <c r="I97" s="2">
        <v>28924</v>
      </c>
      <c r="J97" s="13">
        <v>9</v>
      </c>
      <c r="K97" s="2">
        <v>16</v>
      </c>
      <c r="L97" s="2"/>
    </row>
    <row r="98" spans="1:12">
      <c r="A98" s="1" t="s">
        <v>827</v>
      </c>
      <c r="B98" s="2" t="s">
        <v>46</v>
      </c>
      <c r="C98" s="2">
        <v>920</v>
      </c>
      <c r="D98" s="2">
        <v>1583139</v>
      </c>
      <c r="E98" s="2">
        <v>4504</v>
      </c>
      <c r="F98" s="2">
        <v>224140</v>
      </c>
      <c r="G98" s="2">
        <v>1691</v>
      </c>
      <c r="H98" s="13">
        <v>322973</v>
      </c>
      <c r="I98" s="2">
        <v>46975</v>
      </c>
      <c r="J98" s="13">
        <v>9</v>
      </c>
      <c r="K98" s="2">
        <v>15</v>
      </c>
      <c r="L98" s="2"/>
    </row>
    <row r="99" spans="1:12">
      <c r="A99" s="1" t="s">
        <v>571</v>
      </c>
      <c r="B99" s="2" t="s">
        <v>46</v>
      </c>
      <c r="C99" s="2">
        <v>920</v>
      </c>
      <c r="D99" s="2">
        <v>3119277</v>
      </c>
      <c r="E99" s="2">
        <v>6297.0010000000002</v>
      </c>
      <c r="F99" s="2">
        <v>690918</v>
      </c>
      <c r="G99" s="2">
        <v>2971.5729999999999</v>
      </c>
      <c r="H99" s="13">
        <v>714038</v>
      </c>
      <c r="I99" s="2">
        <v>42395</v>
      </c>
      <c r="J99" s="13">
        <v>19</v>
      </c>
      <c r="K99" s="43">
        <v>23</v>
      </c>
      <c r="L99" s="2"/>
    </row>
    <row r="100" spans="1:12">
      <c r="A100" s="1" t="s">
        <v>572</v>
      </c>
      <c r="B100" s="2" t="s">
        <v>46</v>
      </c>
      <c r="C100" s="2">
        <v>920</v>
      </c>
      <c r="D100" s="2">
        <v>1791357</v>
      </c>
      <c r="E100" s="2">
        <v>4824.0879999999997</v>
      </c>
      <c r="F100" s="2">
        <v>229816</v>
      </c>
      <c r="G100" s="2">
        <v>1716.999</v>
      </c>
      <c r="H100" s="13">
        <v>286588</v>
      </c>
      <c r="I100" s="2">
        <v>36699</v>
      </c>
      <c r="J100" s="13">
        <v>8</v>
      </c>
      <c r="K100" s="43">
        <v>16</v>
      </c>
      <c r="L100" s="2"/>
    </row>
    <row r="101" spans="1:12">
      <c r="A101" s="1" t="s">
        <v>573</v>
      </c>
      <c r="B101" s="2" t="s">
        <v>46</v>
      </c>
      <c r="C101" s="2">
        <v>920</v>
      </c>
      <c r="D101" s="2">
        <v>2452377</v>
      </c>
      <c r="E101" s="2">
        <v>5630.1769999999997</v>
      </c>
      <c r="F101" s="2">
        <v>367102</v>
      </c>
      <c r="G101" s="2">
        <v>2161.4029999999998</v>
      </c>
      <c r="H101" s="13">
        <v>1080190</v>
      </c>
      <c r="I101" s="2">
        <v>56102</v>
      </c>
      <c r="J101" s="13">
        <v>13</v>
      </c>
      <c r="K101" s="43">
        <v>18</v>
      </c>
      <c r="L101" s="2"/>
    </row>
    <row r="102" spans="1:12">
      <c r="A102" s="1" t="s">
        <v>574</v>
      </c>
      <c r="B102" s="2" t="s">
        <v>46</v>
      </c>
      <c r="C102" s="2">
        <v>920</v>
      </c>
      <c r="D102" s="2">
        <v>945654</v>
      </c>
      <c r="E102" s="2">
        <v>3479.473</v>
      </c>
      <c r="F102" s="2">
        <v>231311</v>
      </c>
      <c r="G102" s="2">
        <v>1719.556</v>
      </c>
      <c r="H102" s="13">
        <v>266434</v>
      </c>
      <c r="I102" s="2">
        <v>11643</v>
      </c>
      <c r="J102" s="13">
        <v>24</v>
      </c>
      <c r="K102" s="43">
        <v>22</v>
      </c>
      <c r="L102" s="2"/>
    </row>
    <row r="103" spans="1:12">
      <c r="A103" s="1" t="s">
        <v>575</v>
      </c>
      <c r="B103" s="2" t="s">
        <v>310</v>
      </c>
      <c r="C103" s="2">
        <v>500</v>
      </c>
      <c r="D103" s="2">
        <v>1045714</v>
      </c>
      <c r="E103" s="2">
        <v>3676.3110000000001</v>
      </c>
      <c r="F103" s="2">
        <v>163639</v>
      </c>
      <c r="G103" s="2">
        <v>1443.7570000000001</v>
      </c>
      <c r="H103" s="13">
        <v>184864</v>
      </c>
      <c r="I103" s="2">
        <v>17906</v>
      </c>
      <c r="J103" s="13">
        <v>18</v>
      </c>
      <c r="K103" s="43">
        <v>19</v>
      </c>
      <c r="L103" s="2"/>
    </row>
    <row r="104" spans="1:12">
      <c r="A104" s="1" t="s">
        <v>576</v>
      </c>
      <c r="B104" s="2" t="s">
        <v>46</v>
      </c>
      <c r="C104" s="2">
        <v>920</v>
      </c>
      <c r="D104" s="2">
        <v>3496122</v>
      </c>
      <c r="E104" s="2">
        <v>6664.0569999999998</v>
      </c>
      <c r="F104" s="2">
        <v>677349</v>
      </c>
      <c r="G104" s="2">
        <v>2935.6529999999998</v>
      </c>
      <c r="H104" s="13">
        <v>932025</v>
      </c>
      <c r="I104" s="2">
        <v>49287</v>
      </c>
      <c r="J104" s="13">
        <v>20</v>
      </c>
      <c r="K104" s="43">
        <v>20</v>
      </c>
      <c r="L104" s="2"/>
    </row>
    <row r="105" spans="1:12">
      <c r="A105" s="1" t="s">
        <v>828</v>
      </c>
      <c r="B105" s="2" t="s">
        <v>46</v>
      </c>
      <c r="C105" s="2">
        <v>920</v>
      </c>
      <c r="D105" s="2">
        <v>3457554</v>
      </c>
      <c r="E105" s="2">
        <v>6658</v>
      </c>
      <c r="F105" s="2">
        <v>842579</v>
      </c>
      <c r="G105" s="2">
        <v>3280</v>
      </c>
      <c r="H105" s="13">
        <v>622005</v>
      </c>
      <c r="I105" s="2">
        <v>51253</v>
      </c>
      <c r="J105" s="13">
        <v>26</v>
      </c>
      <c r="K105" s="2">
        <v>18</v>
      </c>
      <c r="L105" s="2"/>
    </row>
    <row r="106" spans="1:12">
      <c r="A106" s="1" t="s">
        <v>829</v>
      </c>
      <c r="B106" s="2" t="s">
        <v>46</v>
      </c>
      <c r="C106" s="2">
        <v>920</v>
      </c>
      <c r="D106" s="2">
        <v>1704090</v>
      </c>
      <c r="E106" s="2">
        <v>4713</v>
      </c>
      <c r="F106" s="2">
        <v>261224</v>
      </c>
      <c r="G106" s="2">
        <v>1833</v>
      </c>
      <c r="H106" s="13">
        <v>444848</v>
      </c>
      <c r="I106" s="2">
        <v>38067</v>
      </c>
      <c r="J106" s="13">
        <v>13</v>
      </c>
      <c r="K106" s="2">
        <v>15</v>
      </c>
      <c r="L106" s="2"/>
    </row>
    <row r="107" spans="1:12">
      <c r="A107" s="1" t="s">
        <v>830</v>
      </c>
      <c r="B107" s="2" t="s">
        <v>46</v>
      </c>
      <c r="C107" s="2">
        <v>920</v>
      </c>
      <c r="D107" s="2">
        <v>1983981</v>
      </c>
      <c r="E107" s="2">
        <v>5030</v>
      </c>
      <c r="F107" s="2">
        <v>353788</v>
      </c>
      <c r="G107" s="2">
        <v>2121</v>
      </c>
      <c r="H107" s="13">
        <v>586191</v>
      </c>
      <c r="I107" s="2">
        <v>43603</v>
      </c>
      <c r="J107" s="13">
        <v>14</v>
      </c>
      <c r="K107" s="2">
        <v>16</v>
      </c>
      <c r="L107" s="2"/>
    </row>
    <row r="108" spans="1:12">
      <c r="A108" s="1" t="s">
        <v>831</v>
      </c>
      <c r="B108" s="2" t="s">
        <v>46</v>
      </c>
      <c r="C108" s="2">
        <v>920</v>
      </c>
      <c r="D108" s="2">
        <v>2295888</v>
      </c>
      <c r="E108" s="2">
        <v>5406</v>
      </c>
      <c r="F108" s="2">
        <v>507001</v>
      </c>
      <c r="G108" s="2">
        <v>2536</v>
      </c>
      <c r="H108" s="13">
        <v>524112</v>
      </c>
      <c r="I108" s="2">
        <v>40529</v>
      </c>
      <c r="J108" s="13">
        <v>17</v>
      </c>
      <c r="K108" s="2">
        <v>16</v>
      </c>
      <c r="L108" s="2"/>
    </row>
    <row r="109" spans="1:12">
      <c r="A109" s="1" t="s">
        <v>832</v>
      </c>
      <c r="B109" s="2" t="s">
        <v>46</v>
      </c>
      <c r="C109" s="2">
        <v>920</v>
      </c>
      <c r="D109" s="2">
        <v>1064872</v>
      </c>
      <c r="E109" s="2">
        <v>3680</v>
      </c>
      <c r="F109" s="2">
        <v>164293</v>
      </c>
      <c r="G109" s="2">
        <v>1446</v>
      </c>
      <c r="H109" s="13">
        <v>7839</v>
      </c>
      <c r="I109" s="2">
        <v>22606</v>
      </c>
      <c r="J109" s="13">
        <v>10</v>
      </c>
      <c r="K109" s="2">
        <v>15</v>
      </c>
      <c r="L109" s="2"/>
    </row>
    <row r="110" spans="1:12">
      <c r="A110" s="1" t="s">
        <v>833</v>
      </c>
      <c r="B110" s="2" t="s">
        <v>46</v>
      </c>
      <c r="C110" s="2">
        <v>920</v>
      </c>
      <c r="D110" s="2">
        <v>1802301</v>
      </c>
      <c r="E110" s="2">
        <v>4798</v>
      </c>
      <c r="F110" s="2">
        <v>278648</v>
      </c>
      <c r="G110" s="2">
        <v>1887</v>
      </c>
      <c r="H110" s="13">
        <v>221694</v>
      </c>
      <c r="I110" s="2">
        <v>35469</v>
      </c>
      <c r="J110" s="13">
        <v>14</v>
      </c>
      <c r="K110" s="2">
        <v>16</v>
      </c>
      <c r="L110" s="2"/>
    </row>
    <row r="111" spans="1:12">
      <c r="A111" s="1" t="s">
        <v>834</v>
      </c>
      <c r="B111" s="2" t="s">
        <v>46</v>
      </c>
      <c r="C111" s="2">
        <v>920</v>
      </c>
      <c r="D111" s="2">
        <v>2206476</v>
      </c>
      <c r="E111" s="2">
        <v>5308</v>
      </c>
      <c r="F111" s="2">
        <v>420423</v>
      </c>
      <c r="G111" s="2">
        <v>2309</v>
      </c>
      <c r="H111" s="13">
        <v>609715</v>
      </c>
      <c r="I111" s="2">
        <v>39186</v>
      </c>
      <c r="J111" s="13">
        <v>16</v>
      </c>
      <c r="K111" s="2" t="s">
        <v>287</v>
      </c>
      <c r="L111" s="2"/>
    </row>
    <row r="112" spans="1:12">
      <c r="A112" s="1" t="s">
        <v>835</v>
      </c>
      <c r="B112" s="2" t="s">
        <v>46</v>
      </c>
      <c r="C112" s="2">
        <v>920</v>
      </c>
      <c r="D112" s="2">
        <v>2267139</v>
      </c>
      <c r="E112" s="2">
        <v>5371</v>
      </c>
      <c r="F112" s="2">
        <v>310408</v>
      </c>
      <c r="G112" s="2">
        <v>1989</v>
      </c>
      <c r="H112" s="13">
        <v>0</v>
      </c>
      <c r="I112" s="2">
        <v>47801</v>
      </c>
      <c r="J112" s="13">
        <v>12</v>
      </c>
      <c r="K112" s="2">
        <v>18</v>
      </c>
      <c r="L112" s="2"/>
    </row>
    <row r="113" spans="1:12">
      <c r="A113" s="1" t="s">
        <v>836</v>
      </c>
      <c r="B113" s="2" t="s">
        <v>46</v>
      </c>
      <c r="C113" s="2">
        <v>920</v>
      </c>
      <c r="D113" s="2">
        <v>2452212</v>
      </c>
      <c r="E113" s="2">
        <v>5595</v>
      </c>
      <c r="F113" s="2">
        <v>380726</v>
      </c>
      <c r="G113" s="2">
        <v>2202</v>
      </c>
      <c r="H113" s="2">
        <v>862918</v>
      </c>
      <c r="I113" s="2">
        <v>56019</v>
      </c>
      <c r="J113" s="13">
        <v>14</v>
      </c>
      <c r="K113" s="2">
        <v>19</v>
      </c>
      <c r="L113" s="2"/>
    </row>
    <row r="114" spans="1:12">
      <c r="A114" s="1" t="s">
        <v>837</v>
      </c>
      <c r="B114" s="2" t="s">
        <v>46</v>
      </c>
      <c r="C114" s="2">
        <v>920</v>
      </c>
      <c r="D114" s="2">
        <v>2693547</v>
      </c>
      <c r="E114" s="2">
        <v>5843</v>
      </c>
      <c r="F114" s="2">
        <v>476625</v>
      </c>
      <c r="G114" s="2">
        <v>2469</v>
      </c>
      <c r="H114" s="2">
        <v>903244</v>
      </c>
      <c r="I114" s="2">
        <v>42950</v>
      </c>
      <c r="J114" s="13">
        <v>14</v>
      </c>
      <c r="K114" s="2">
        <v>18</v>
      </c>
      <c r="L114" s="2"/>
    </row>
    <row r="115" spans="1:12">
      <c r="A115" s="1" t="s">
        <v>838</v>
      </c>
      <c r="B115" s="2" t="s">
        <v>46</v>
      </c>
      <c r="C115" s="2">
        <v>920</v>
      </c>
      <c r="D115" s="2">
        <v>1591185</v>
      </c>
      <c r="E115" s="2">
        <v>4498</v>
      </c>
      <c r="F115" s="2">
        <v>214140</v>
      </c>
      <c r="G115" s="2">
        <v>1656</v>
      </c>
      <c r="H115" s="13">
        <v>196109</v>
      </c>
      <c r="I115" s="2">
        <v>31096</v>
      </c>
      <c r="J115" s="13">
        <v>9</v>
      </c>
      <c r="K115" s="2">
        <v>16</v>
      </c>
      <c r="L115" s="2"/>
    </row>
    <row r="116" spans="1:12">
      <c r="A116" s="1" t="s">
        <v>839</v>
      </c>
      <c r="B116" s="2" t="s">
        <v>46</v>
      </c>
      <c r="C116" s="2">
        <v>920</v>
      </c>
      <c r="D116" s="2">
        <v>2322996</v>
      </c>
      <c r="E116" s="2">
        <v>5446</v>
      </c>
      <c r="F116" s="2">
        <v>344633</v>
      </c>
      <c r="G116" s="2">
        <v>2092</v>
      </c>
      <c r="H116" s="13">
        <v>675501</v>
      </c>
      <c r="I116" s="2">
        <v>50757</v>
      </c>
      <c r="J116" s="13">
        <v>13</v>
      </c>
      <c r="K116" s="2">
        <v>18</v>
      </c>
      <c r="L116" s="2"/>
    </row>
    <row r="117" spans="1:12">
      <c r="A117" s="1" t="s">
        <v>1139</v>
      </c>
      <c r="B117" s="2" t="s">
        <v>46</v>
      </c>
      <c r="C117" s="2">
        <v>920</v>
      </c>
      <c r="D117" s="2">
        <v>2304075</v>
      </c>
      <c r="E117" s="43">
        <v>5381.3149999999996</v>
      </c>
      <c r="F117" s="2">
        <v>485236</v>
      </c>
      <c r="G117" s="2">
        <v>2494</v>
      </c>
      <c r="H117" s="13">
        <v>542419</v>
      </c>
      <c r="I117" s="2">
        <v>31475</v>
      </c>
      <c r="J117" s="13">
        <v>16</v>
      </c>
      <c r="K117" s="2">
        <v>19</v>
      </c>
      <c r="L117" s="2"/>
    </row>
    <row r="118" spans="1:12">
      <c r="A118" s="1" t="s">
        <v>1140</v>
      </c>
      <c r="B118" s="2" t="s">
        <v>46</v>
      </c>
      <c r="C118" s="2">
        <v>920</v>
      </c>
      <c r="D118" s="2">
        <v>1804368</v>
      </c>
      <c r="E118" s="43">
        <v>4830.2269999999999</v>
      </c>
      <c r="F118" s="2">
        <v>341723</v>
      </c>
      <c r="G118" s="2">
        <v>2101</v>
      </c>
      <c r="H118" s="13">
        <v>82319</v>
      </c>
      <c r="I118" s="2">
        <v>44044</v>
      </c>
      <c r="J118" s="13">
        <v>14</v>
      </c>
      <c r="K118" s="2">
        <v>17</v>
      </c>
      <c r="L118" s="2"/>
    </row>
    <row r="119" spans="1:12">
      <c r="A119" s="1" t="s">
        <v>1141</v>
      </c>
      <c r="B119" s="2" t="s">
        <v>46</v>
      </c>
      <c r="C119" s="2">
        <v>920</v>
      </c>
      <c r="D119" s="2">
        <v>2005536</v>
      </c>
      <c r="E119" s="43">
        <v>5115.1859999999997</v>
      </c>
      <c r="F119" s="2">
        <v>422065</v>
      </c>
      <c r="G119" s="2">
        <v>2355</v>
      </c>
      <c r="H119" s="13">
        <v>773408</v>
      </c>
      <c r="I119" s="2">
        <v>42509</v>
      </c>
      <c r="J119" s="13">
        <v>15</v>
      </c>
      <c r="K119" s="2">
        <v>18</v>
      </c>
      <c r="L119" s="2"/>
    </row>
    <row r="120" spans="1:12">
      <c r="A120" s="1" t="s">
        <v>400</v>
      </c>
      <c r="B120" s="2" t="s">
        <v>310</v>
      </c>
      <c r="C120" s="2">
        <v>500</v>
      </c>
      <c r="D120" s="2">
        <v>1090885</v>
      </c>
      <c r="E120" s="2">
        <v>3729</v>
      </c>
      <c r="F120" s="2">
        <v>170256</v>
      </c>
      <c r="G120" s="2">
        <v>1485</v>
      </c>
      <c r="H120" s="2">
        <v>89308</v>
      </c>
      <c r="I120" s="2">
        <v>17989</v>
      </c>
      <c r="J120" s="13">
        <v>13</v>
      </c>
      <c r="K120" s="43">
        <v>18</v>
      </c>
      <c r="L120" s="2"/>
    </row>
    <row r="121" spans="1:12">
      <c r="A121" s="1" t="s">
        <v>401</v>
      </c>
      <c r="B121" s="2" t="s">
        <v>46</v>
      </c>
      <c r="C121" s="2">
        <v>920</v>
      </c>
      <c r="D121" s="2">
        <v>3428922</v>
      </c>
      <c r="E121" s="2">
        <v>6622</v>
      </c>
      <c r="F121" s="2">
        <v>649671</v>
      </c>
      <c r="G121" s="2">
        <v>2889</v>
      </c>
      <c r="H121" s="13">
        <v>1092181</v>
      </c>
      <c r="I121" s="2">
        <v>64465</v>
      </c>
      <c r="J121" s="13">
        <v>18</v>
      </c>
      <c r="K121" s="43">
        <v>18</v>
      </c>
      <c r="L121" s="2"/>
    </row>
    <row r="122" spans="1:12">
      <c r="A122" s="1" t="s">
        <v>402</v>
      </c>
      <c r="B122" s="2" t="s">
        <v>310</v>
      </c>
      <c r="C122" s="2">
        <v>500</v>
      </c>
      <c r="D122" s="2">
        <v>986001</v>
      </c>
      <c r="E122" s="2">
        <v>3548</v>
      </c>
      <c r="F122" s="2">
        <v>144789</v>
      </c>
      <c r="G122" s="2">
        <v>1371</v>
      </c>
      <c r="H122" s="13">
        <v>205114</v>
      </c>
      <c r="I122" s="2">
        <v>14423</v>
      </c>
      <c r="J122" s="13">
        <v>15</v>
      </c>
      <c r="K122" s="43">
        <v>18.25</v>
      </c>
      <c r="L122" s="2"/>
    </row>
    <row r="123" spans="1:12">
      <c r="A123" s="1" t="s">
        <v>1142</v>
      </c>
      <c r="B123" s="2" t="s">
        <v>46</v>
      </c>
      <c r="C123" s="2">
        <v>920</v>
      </c>
      <c r="D123" s="2">
        <v>2703534</v>
      </c>
      <c r="E123" s="43">
        <v>5888.518</v>
      </c>
      <c r="F123" s="2">
        <v>775866</v>
      </c>
      <c r="G123" s="2">
        <v>3162</v>
      </c>
      <c r="H123" s="13">
        <v>529630</v>
      </c>
      <c r="I123" s="2">
        <v>34890</v>
      </c>
      <c r="J123" s="13">
        <v>18</v>
      </c>
      <c r="K123" s="2">
        <v>18</v>
      </c>
      <c r="L123" s="2"/>
    </row>
    <row r="124" spans="1:12">
      <c r="A124" s="1" t="s">
        <v>1143</v>
      </c>
      <c r="B124" s="2" t="s">
        <v>46</v>
      </c>
      <c r="C124" s="2">
        <v>920</v>
      </c>
      <c r="D124" s="2">
        <v>2030379</v>
      </c>
      <c r="E124" s="43">
        <v>5033.0370000000003</v>
      </c>
      <c r="F124" s="2">
        <v>226113</v>
      </c>
      <c r="G124" s="2">
        <v>1705</v>
      </c>
      <c r="H124" s="13">
        <v>462961</v>
      </c>
      <c r="I124" s="2">
        <v>32261</v>
      </c>
      <c r="J124" s="13">
        <v>12</v>
      </c>
      <c r="K124" s="2">
        <v>18</v>
      </c>
      <c r="L124" s="2"/>
    </row>
    <row r="125" spans="1:12">
      <c r="A125" s="1" t="s">
        <v>1144</v>
      </c>
      <c r="B125" s="2" t="s">
        <v>46</v>
      </c>
      <c r="C125" s="2">
        <v>920</v>
      </c>
      <c r="D125" s="2">
        <v>2718498</v>
      </c>
      <c r="E125" s="43">
        <v>5917.8959999999997</v>
      </c>
      <c r="F125" s="2">
        <v>488300</v>
      </c>
      <c r="G125" s="2">
        <v>2500</v>
      </c>
      <c r="H125" s="13">
        <v>1054357</v>
      </c>
      <c r="I125" s="2">
        <v>55387</v>
      </c>
      <c r="J125" s="13">
        <v>14</v>
      </c>
      <c r="K125" s="2">
        <v>17</v>
      </c>
      <c r="L125" s="2"/>
    </row>
    <row r="126" spans="1:12">
      <c r="A126" s="1" t="s">
        <v>840</v>
      </c>
      <c r="B126" s="2" t="s">
        <v>46</v>
      </c>
      <c r="C126" s="2">
        <v>920</v>
      </c>
      <c r="D126" s="2">
        <v>2076048</v>
      </c>
      <c r="E126" s="2">
        <v>5131</v>
      </c>
      <c r="F126" s="2">
        <v>542242</v>
      </c>
      <c r="G126" s="2">
        <v>2630</v>
      </c>
      <c r="H126" s="13">
        <v>543056</v>
      </c>
      <c r="I126" s="2">
        <v>31080</v>
      </c>
      <c r="J126" s="13">
        <v>17</v>
      </c>
      <c r="K126" s="2">
        <v>17</v>
      </c>
      <c r="L126" s="2"/>
    </row>
    <row r="127" spans="1:12">
      <c r="A127" s="1" t="s">
        <v>841</v>
      </c>
      <c r="B127" s="2" t="s">
        <v>46</v>
      </c>
      <c r="C127" s="2">
        <v>920</v>
      </c>
      <c r="D127" s="2">
        <v>2048640</v>
      </c>
      <c r="E127" s="2">
        <v>5116</v>
      </c>
      <c r="F127" s="2">
        <v>274044</v>
      </c>
      <c r="G127" s="2">
        <v>1867</v>
      </c>
      <c r="H127" s="13">
        <v>0</v>
      </c>
      <c r="I127" s="2">
        <v>31826</v>
      </c>
      <c r="J127" s="13">
        <v>11</v>
      </c>
      <c r="K127" s="2">
        <v>17</v>
      </c>
      <c r="L127" s="2"/>
    </row>
    <row r="128" spans="1:12">
      <c r="A128" s="1" t="s">
        <v>842</v>
      </c>
      <c r="B128" s="2" t="s">
        <v>46</v>
      </c>
      <c r="C128" s="2">
        <v>920</v>
      </c>
      <c r="D128" s="2">
        <v>2256048</v>
      </c>
      <c r="E128" s="2">
        <v>5366</v>
      </c>
      <c r="F128" s="2">
        <v>427718</v>
      </c>
      <c r="G128" s="2">
        <v>2334</v>
      </c>
      <c r="H128" s="13">
        <v>691482</v>
      </c>
      <c r="I128" s="2">
        <v>36486</v>
      </c>
      <c r="J128" s="13">
        <v>15</v>
      </c>
      <c r="K128" s="2">
        <v>18</v>
      </c>
      <c r="L128" s="2"/>
    </row>
    <row r="129" spans="1:12">
      <c r="A129" s="1" t="s">
        <v>403</v>
      </c>
      <c r="B129" s="2" t="s">
        <v>46</v>
      </c>
      <c r="C129" s="2">
        <v>920</v>
      </c>
      <c r="D129" s="2">
        <v>2199744</v>
      </c>
      <c r="E129" s="2">
        <v>5320</v>
      </c>
      <c r="F129" s="2">
        <v>468654</v>
      </c>
      <c r="G129" s="2">
        <v>2440</v>
      </c>
      <c r="H129" s="13">
        <v>39649</v>
      </c>
      <c r="I129" s="2">
        <v>24464</v>
      </c>
      <c r="J129" s="13">
        <v>17</v>
      </c>
      <c r="K129" s="43">
        <v>18.5</v>
      </c>
      <c r="L129" s="2"/>
    </row>
    <row r="130" spans="1:12">
      <c r="A130" s="1" t="s">
        <v>404</v>
      </c>
      <c r="B130" s="2" t="s">
        <v>46</v>
      </c>
      <c r="C130" s="2">
        <v>920</v>
      </c>
      <c r="D130" s="2">
        <v>1119563</v>
      </c>
      <c r="E130" s="2">
        <v>3803</v>
      </c>
      <c r="F130" s="2">
        <v>149908</v>
      </c>
      <c r="G130" s="2">
        <v>1381</v>
      </c>
      <c r="H130" s="13">
        <v>295670</v>
      </c>
      <c r="I130" s="2">
        <v>24962</v>
      </c>
      <c r="J130" s="13">
        <v>7</v>
      </c>
      <c r="K130" s="43">
        <v>14.5</v>
      </c>
      <c r="L130" s="2"/>
    </row>
    <row r="131" spans="1:12">
      <c r="A131" s="1" t="s">
        <v>405</v>
      </c>
      <c r="B131" s="2" t="s">
        <v>46</v>
      </c>
      <c r="C131" s="2">
        <v>920</v>
      </c>
      <c r="D131" s="2">
        <v>939897</v>
      </c>
      <c r="E131" s="2">
        <v>3515</v>
      </c>
      <c r="F131" s="2">
        <v>159525</v>
      </c>
      <c r="G131" s="2">
        <v>1437</v>
      </c>
      <c r="H131" s="13">
        <v>300150</v>
      </c>
      <c r="I131" s="2">
        <v>22118</v>
      </c>
      <c r="J131" s="13">
        <v>8</v>
      </c>
      <c r="K131" s="43">
        <v>13.5</v>
      </c>
      <c r="L131" s="2"/>
    </row>
    <row r="132" spans="1:12">
      <c r="A132" s="1" t="s">
        <v>406</v>
      </c>
      <c r="B132" s="2" t="s">
        <v>46</v>
      </c>
      <c r="C132" s="2">
        <v>920</v>
      </c>
      <c r="D132" s="2">
        <v>3350286</v>
      </c>
      <c r="E132" s="2">
        <v>6541</v>
      </c>
      <c r="F132" s="2">
        <v>628369</v>
      </c>
      <c r="G132" s="2">
        <v>2842</v>
      </c>
      <c r="H132" s="13">
        <v>1131989</v>
      </c>
      <c r="I132" s="2">
        <v>36855</v>
      </c>
      <c r="J132" s="13">
        <v>17</v>
      </c>
      <c r="K132" s="43">
        <v>26.25</v>
      </c>
      <c r="L132" s="2"/>
    </row>
    <row r="133" spans="1:12">
      <c r="A133" s="1" t="s">
        <v>407</v>
      </c>
      <c r="B133" s="2" t="s">
        <v>46</v>
      </c>
      <c r="C133" s="2">
        <v>920</v>
      </c>
      <c r="D133" s="2">
        <v>3716364</v>
      </c>
      <c r="E133" s="2">
        <v>6899</v>
      </c>
      <c r="F133" s="2">
        <v>489924</v>
      </c>
      <c r="G133" s="2">
        <v>2502</v>
      </c>
      <c r="H133" s="13">
        <v>479742</v>
      </c>
      <c r="I133" s="2">
        <v>45448</v>
      </c>
      <c r="J133" s="13">
        <v>13</v>
      </c>
      <c r="K133" s="43">
        <v>21.75</v>
      </c>
      <c r="L133" s="2"/>
    </row>
    <row r="134" spans="1:12">
      <c r="A134" s="1" t="s">
        <v>408</v>
      </c>
      <c r="B134" s="2" t="s">
        <v>46</v>
      </c>
      <c r="C134" s="2">
        <v>920</v>
      </c>
      <c r="D134" s="2">
        <v>2483844</v>
      </c>
      <c r="E134" s="2">
        <v>5710</v>
      </c>
      <c r="F134" s="2">
        <v>509473</v>
      </c>
      <c r="G134" s="2">
        <v>2546</v>
      </c>
      <c r="H134" s="13">
        <v>782657</v>
      </c>
      <c r="I134" s="2">
        <v>39577</v>
      </c>
      <c r="J134" s="13">
        <v>20</v>
      </c>
      <c r="K134" s="43">
        <v>21.67</v>
      </c>
      <c r="L134" s="2"/>
    </row>
    <row r="135" spans="1:12">
      <c r="A135" s="1" t="s">
        <v>577</v>
      </c>
      <c r="B135" s="2" t="s">
        <v>46</v>
      </c>
      <c r="C135" s="2">
        <v>920</v>
      </c>
      <c r="D135" s="2">
        <v>3485991</v>
      </c>
      <c r="E135" s="2">
        <v>6776.4189999999999</v>
      </c>
      <c r="F135" s="2">
        <v>690379</v>
      </c>
      <c r="G135" s="2">
        <v>3010.8090000000002</v>
      </c>
      <c r="H135" s="13">
        <v>0</v>
      </c>
      <c r="I135" s="2">
        <v>46442</v>
      </c>
      <c r="J135" s="13">
        <v>17</v>
      </c>
      <c r="K135" s="43">
        <v>21</v>
      </c>
      <c r="L135" s="2"/>
    </row>
    <row r="136" spans="1:12">
      <c r="A136" s="1" t="s">
        <v>578</v>
      </c>
      <c r="B136" s="2" t="s">
        <v>46</v>
      </c>
      <c r="C136" s="2">
        <v>920</v>
      </c>
      <c r="D136" s="2">
        <v>3711399</v>
      </c>
      <c r="E136" s="2">
        <v>6980.3819999999996</v>
      </c>
      <c r="F136" s="2">
        <v>752730</v>
      </c>
      <c r="G136" s="2">
        <v>3115.9180000000001</v>
      </c>
      <c r="H136" s="13">
        <v>0</v>
      </c>
      <c r="I136" s="2">
        <v>47933</v>
      </c>
      <c r="J136" s="13">
        <v>17</v>
      </c>
      <c r="K136" s="43">
        <v>20</v>
      </c>
      <c r="L136" s="2"/>
    </row>
    <row r="137" spans="1:12">
      <c r="A137" s="1" t="s">
        <v>579</v>
      </c>
      <c r="B137" s="2" t="s">
        <v>46</v>
      </c>
      <c r="C137" s="2">
        <v>920</v>
      </c>
      <c r="D137" s="2">
        <v>3330036</v>
      </c>
      <c r="E137" s="2">
        <v>6506.7079999999996</v>
      </c>
      <c r="F137" s="2">
        <v>789633</v>
      </c>
      <c r="G137" s="2">
        <v>3202.0720000000001</v>
      </c>
      <c r="H137" s="13">
        <v>520229</v>
      </c>
      <c r="I137" s="2">
        <v>46814</v>
      </c>
      <c r="J137" s="13">
        <v>19</v>
      </c>
      <c r="K137" s="43">
        <v>21</v>
      </c>
      <c r="L137" s="2"/>
    </row>
    <row r="138" spans="1:12">
      <c r="A138" s="1" t="s">
        <v>409</v>
      </c>
      <c r="B138" s="2" t="s">
        <v>310</v>
      </c>
      <c r="C138" s="2">
        <v>500</v>
      </c>
      <c r="D138" s="2">
        <v>1086336</v>
      </c>
      <c r="E138" s="2">
        <v>3724</v>
      </c>
      <c r="F138" s="2">
        <v>237969</v>
      </c>
      <c r="G138" s="2">
        <v>1744</v>
      </c>
      <c r="H138" s="13">
        <v>407515</v>
      </c>
      <c r="I138" s="2">
        <v>11900</v>
      </c>
      <c r="J138" s="13">
        <v>21</v>
      </c>
      <c r="K138" s="43">
        <v>22.75</v>
      </c>
      <c r="L138" s="2"/>
    </row>
    <row r="139" spans="1:12">
      <c r="A139" s="1" t="s">
        <v>410</v>
      </c>
      <c r="B139" s="2" t="s">
        <v>46</v>
      </c>
      <c r="C139" s="2">
        <v>920</v>
      </c>
      <c r="D139" s="2">
        <v>4083708</v>
      </c>
      <c r="E139" s="2">
        <v>7435</v>
      </c>
      <c r="F139" s="2">
        <v>640490</v>
      </c>
      <c r="G139" s="2">
        <v>2899</v>
      </c>
      <c r="H139" s="13">
        <v>794211</v>
      </c>
      <c r="I139" s="2">
        <v>53221</v>
      </c>
      <c r="J139" s="13">
        <v>16</v>
      </c>
      <c r="K139" s="43">
        <v>21</v>
      </c>
      <c r="L139" s="2"/>
    </row>
    <row r="140" spans="1:12">
      <c r="A140" s="1" t="s">
        <v>411</v>
      </c>
      <c r="B140" s="2" t="s">
        <v>310</v>
      </c>
      <c r="C140" s="2">
        <v>500</v>
      </c>
      <c r="D140" s="2">
        <v>950989</v>
      </c>
      <c r="E140" s="2">
        <v>3476</v>
      </c>
      <c r="F140" s="2">
        <v>178274</v>
      </c>
      <c r="G140" s="2">
        <v>1507</v>
      </c>
      <c r="H140" s="2">
        <v>365331</v>
      </c>
      <c r="I140" s="2">
        <v>14375</v>
      </c>
      <c r="J140" s="13">
        <v>16</v>
      </c>
      <c r="K140" s="43">
        <v>21</v>
      </c>
      <c r="L140" s="2"/>
    </row>
    <row r="141" spans="1:12">
      <c r="A141" s="1" t="s">
        <v>843</v>
      </c>
      <c r="B141" s="2" t="s">
        <v>46</v>
      </c>
      <c r="C141" s="2">
        <v>920</v>
      </c>
      <c r="D141" s="2">
        <v>2736732</v>
      </c>
      <c r="E141" s="2">
        <v>5894</v>
      </c>
      <c r="F141" s="2">
        <v>646873</v>
      </c>
      <c r="G141" s="2">
        <v>2874</v>
      </c>
      <c r="H141" s="2">
        <v>940341</v>
      </c>
      <c r="I141" s="2">
        <v>32802</v>
      </c>
      <c r="J141" s="13">
        <v>15</v>
      </c>
      <c r="K141" s="2">
        <v>23</v>
      </c>
      <c r="L141" s="2"/>
    </row>
    <row r="142" spans="1:12">
      <c r="A142" s="1" t="s">
        <v>844</v>
      </c>
      <c r="B142" s="2" t="s">
        <v>46</v>
      </c>
      <c r="C142" s="2">
        <v>920</v>
      </c>
      <c r="D142" s="2">
        <v>3370632</v>
      </c>
      <c r="E142" s="2">
        <v>6548</v>
      </c>
      <c r="F142" s="2">
        <v>458156</v>
      </c>
      <c r="G142" s="2">
        <v>2427</v>
      </c>
      <c r="H142" s="2">
        <v>0</v>
      </c>
      <c r="I142" s="2">
        <v>39245</v>
      </c>
      <c r="J142" s="13">
        <v>12</v>
      </c>
      <c r="K142" s="2">
        <v>21</v>
      </c>
      <c r="L142" s="2"/>
    </row>
    <row r="143" spans="1:12">
      <c r="A143" s="1" t="s">
        <v>845</v>
      </c>
      <c r="B143" s="2" t="s">
        <v>46</v>
      </c>
      <c r="C143" s="2">
        <v>920</v>
      </c>
      <c r="D143" s="2">
        <v>3839181</v>
      </c>
      <c r="E143" s="2">
        <v>6996</v>
      </c>
      <c r="F143" s="2">
        <v>680566</v>
      </c>
      <c r="G143" s="2">
        <v>2944</v>
      </c>
      <c r="H143" s="2">
        <v>1568301</v>
      </c>
      <c r="I143" s="2">
        <v>66710</v>
      </c>
      <c r="J143" s="13">
        <v>15</v>
      </c>
      <c r="K143" s="2">
        <v>20</v>
      </c>
      <c r="L143" s="2"/>
    </row>
    <row r="144" spans="1:12">
      <c r="A144" s="1" t="s">
        <v>1145</v>
      </c>
      <c r="B144" s="2" t="s">
        <v>46</v>
      </c>
      <c r="C144" s="2">
        <v>920</v>
      </c>
      <c r="D144" s="2">
        <v>2177205</v>
      </c>
      <c r="E144" s="43">
        <v>5313.4129999999996</v>
      </c>
      <c r="F144" s="2">
        <v>452052</v>
      </c>
      <c r="G144" s="2">
        <v>2409</v>
      </c>
      <c r="H144" s="2">
        <v>415969</v>
      </c>
      <c r="I144" s="2">
        <v>30316</v>
      </c>
      <c r="J144" s="13">
        <v>16</v>
      </c>
      <c r="K144" s="2">
        <v>19</v>
      </c>
      <c r="L144" s="2"/>
    </row>
    <row r="145" spans="1:12">
      <c r="A145" s="1" t="s">
        <v>1146</v>
      </c>
      <c r="B145" s="2" t="s">
        <v>46</v>
      </c>
      <c r="C145" s="2">
        <v>920</v>
      </c>
      <c r="D145" s="2">
        <v>1992522</v>
      </c>
      <c r="E145" s="43">
        <v>5154.0829999999996</v>
      </c>
      <c r="F145" s="2">
        <v>364664</v>
      </c>
      <c r="G145" s="2">
        <v>2167</v>
      </c>
      <c r="H145" s="2">
        <v>634433</v>
      </c>
      <c r="I145" s="2">
        <v>45137</v>
      </c>
      <c r="J145" s="13">
        <v>12</v>
      </c>
      <c r="K145" s="2">
        <v>16</v>
      </c>
      <c r="L145" s="2"/>
    </row>
    <row r="146" spans="1:12">
      <c r="A146" s="1" t="s">
        <v>1147</v>
      </c>
      <c r="B146" s="2" t="s">
        <v>46</v>
      </c>
      <c r="C146" s="2">
        <v>920</v>
      </c>
      <c r="D146" s="2">
        <v>2489922</v>
      </c>
      <c r="E146" s="43">
        <v>5731.01</v>
      </c>
      <c r="F146" s="2">
        <v>417647</v>
      </c>
      <c r="G146" s="2">
        <v>2316</v>
      </c>
      <c r="H146" s="2">
        <v>989280</v>
      </c>
      <c r="I146" s="2">
        <v>46236</v>
      </c>
      <c r="J146" s="13">
        <v>13</v>
      </c>
      <c r="K146" s="2">
        <v>15</v>
      </c>
      <c r="L146" s="2"/>
    </row>
    <row r="147" spans="1:12">
      <c r="A147" s="1" t="s">
        <v>468</v>
      </c>
      <c r="B147" s="2" t="s">
        <v>310</v>
      </c>
      <c r="C147" s="2">
        <v>500</v>
      </c>
      <c r="D147" s="2">
        <v>809333</v>
      </c>
      <c r="E147" s="2">
        <v>3410</v>
      </c>
      <c r="F147" s="2">
        <v>177528</v>
      </c>
      <c r="G147" s="2">
        <v>1504</v>
      </c>
      <c r="H147" s="2">
        <v>194204</v>
      </c>
      <c r="I147" s="2">
        <v>9953</v>
      </c>
      <c r="J147" s="13">
        <v>18</v>
      </c>
      <c r="K147" s="43">
        <v>22.3</v>
      </c>
      <c r="L147" s="2"/>
    </row>
    <row r="148" spans="1:12">
      <c r="A148" s="1" t="s">
        <v>412</v>
      </c>
      <c r="B148" s="2" t="s">
        <v>310</v>
      </c>
      <c r="C148" s="2">
        <v>500</v>
      </c>
      <c r="D148" s="2">
        <v>987885</v>
      </c>
      <c r="E148" s="2">
        <v>3549</v>
      </c>
      <c r="F148" s="2">
        <v>155732</v>
      </c>
      <c r="G148" s="2">
        <v>1418</v>
      </c>
      <c r="H148" s="2">
        <v>0</v>
      </c>
      <c r="I148" s="2">
        <v>12630</v>
      </c>
      <c r="J148" s="13">
        <v>17</v>
      </c>
      <c r="K148" s="43">
        <v>20.332999999999998</v>
      </c>
      <c r="L148" s="2"/>
    </row>
    <row r="149" spans="1:12">
      <c r="A149" s="1" t="s">
        <v>413</v>
      </c>
      <c r="B149" s="2" t="s">
        <v>46</v>
      </c>
      <c r="C149" s="2">
        <v>920</v>
      </c>
      <c r="D149" s="2">
        <v>3002505</v>
      </c>
      <c r="E149" s="2">
        <v>6221</v>
      </c>
      <c r="F149" s="2">
        <v>596851</v>
      </c>
      <c r="G149" s="2">
        <v>2752</v>
      </c>
      <c r="H149" s="2">
        <v>552034</v>
      </c>
      <c r="I149" s="2">
        <v>49758</v>
      </c>
      <c r="J149" s="13">
        <v>19</v>
      </c>
      <c r="K149" s="43">
        <v>21.332999999999998</v>
      </c>
      <c r="L149" s="2"/>
    </row>
    <row r="150" spans="1:12">
      <c r="A150" s="1" t="s">
        <v>846</v>
      </c>
      <c r="B150" s="2" t="s">
        <v>310</v>
      </c>
      <c r="C150" s="2">
        <v>500</v>
      </c>
      <c r="D150" s="2">
        <v>1037000</v>
      </c>
      <c r="E150" s="2">
        <v>3624</v>
      </c>
      <c r="F150" s="2">
        <v>236654</v>
      </c>
      <c r="G150" s="2">
        <v>1736</v>
      </c>
      <c r="H150" s="2">
        <v>381834</v>
      </c>
      <c r="I150" s="2">
        <v>10514</v>
      </c>
      <c r="J150" s="13">
        <v>21</v>
      </c>
      <c r="K150" s="2">
        <v>26</v>
      </c>
      <c r="L150" s="2"/>
    </row>
    <row r="151" spans="1:12">
      <c r="A151" s="1" t="s">
        <v>847</v>
      </c>
      <c r="B151" s="2" t="s">
        <v>310</v>
      </c>
      <c r="C151" s="2">
        <v>500</v>
      </c>
      <c r="D151" s="2">
        <v>1428282</v>
      </c>
      <c r="E151" s="2">
        <v>4265</v>
      </c>
      <c r="F151" s="2">
        <v>204750</v>
      </c>
      <c r="G151" s="2">
        <v>1614</v>
      </c>
      <c r="H151" s="2">
        <v>307233</v>
      </c>
      <c r="I151" s="2">
        <v>11092</v>
      </c>
      <c r="J151" s="13">
        <v>14</v>
      </c>
      <c r="K151" s="2">
        <v>22</v>
      </c>
      <c r="L151" s="2"/>
    </row>
    <row r="152" spans="1:12">
      <c r="A152" s="1" t="s">
        <v>848</v>
      </c>
      <c r="B152" s="2" t="s">
        <v>310</v>
      </c>
      <c r="C152" s="2">
        <v>500</v>
      </c>
      <c r="D152" s="2">
        <v>1203444</v>
      </c>
      <c r="E152" s="2">
        <v>3943</v>
      </c>
      <c r="F152" s="2">
        <v>210360</v>
      </c>
      <c r="G152" s="2">
        <v>1633</v>
      </c>
      <c r="H152" s="2">
        <v>330457</v>
      </c>
      <c r="I152" s="2">
        <v>16549</v>
      </c>
      <c r="J152" s="13">
        <v>16</v>
      </c>
      <c r="K152" s="2">
        <v>21</v>
      </c>
      <c r="L152" s="2"/>
    </row>
    <row r="153" spans="1:12">
      <c r="A153" s="1" t="s">
        <v>580</v>
      </c>
      <c r="B153" s="2" t="s">
        <v>310</v>
      </c>
      <c r="C153" s="2">
        <v>500</v>
      </c>
      <c r="D153" s="2">
        <v>962905</v>
      </c>
      <c r="E153" s="2">
        <v>3512.7330000000002</v>
      </c>
      <c r="F153" s="2">
        <v>193587</v>
      </c>
      <c r="G153" s="2">
        <v>1574.894</v>
      </c>
      <c r="H153" s="2">
        <v>357207</v>
      </c>
      <c r="I153" s="2">
        <v>9176</v>
      </c>
      <c r="J153" s="13">
        <v>18</v>
      </c>
      <c r="K153" s="43">
        <v>23</v>
      </c>
      <c r="L153" s="2"/>
    </row>
    <row r="154" spans="1:12">
      <c r="A154" s="1" t="s">
        <v>581</v>
      </c>
      <c r="B154" s="2" t="s">
        <v>310</v>
      </c>
      <c r="C154" s="2">
        <v>500</v>
      </c>
      <c r="D154" s="2">
        <v>1043821</v>
      </c>
      <c r="E154" s="2">
        <v>3668.1480000000001</v>
      </c>
      <c r="F154" s="2">
        <v>134828</v>
      </c>
      <c r="G154" s="2">
        <v>1311.82</v>
      </c>
      <c r="H154" s="2">
        <v>0</v>
      </c>
      <c r="I154" s="2">
        <v>11503</v>
      </c>
      <c r="J154" s="13">
        <v>12</v>
      </c>
      <c r="K154" s="43">
        <v>20</v>
      </c>
      <c r="L154" s="2"/>
    </row>
    <row r="155" spans="1:12">
      <c r="A155" s="1" t="s">
        <v>582</v>
      </c>
      <c r="B155" s="2" t="s">
        <v>310</v>
      </c>
      <c r="C155" s="2">
        <v>500</v>
      </c>
      <c r="D155" s="2">
        <v>992107</v>
      </c>
      <c r="E155" s="2">
        <v>3559.5839999999998</v>
      </c>
      <c r="F155" s="2">
        <v>162795</v>
      </c>
      <c r="G155" s="2">
        <v>1444.655</v>
      </c>
      <c r="H155" s="2">
        <v>454775</v>
      </c>
      <c r="I155" s="2">
        <v>13567</v>
      </c>
      <c r="J155" s="13">
        <v>16</v>
      </c>
      <c r="K155" s="43">
        <v>23</v>
      </c>
      <c r="L155" s="2"/>
    </row>
    <row r="156" spans="1:12">
      <c r="A156" s="1" t="s">
        <v>469</v>
      </c>
      <c r="B156" s="2" t="s">
        <v>310</v>
      </c>
      <c r="C156" s="2">
        <v>500</v>
      </c>
      <c r="D156" s="2">
        <v>966019</v>
      </c>
      <c r="E156" s="2">
        <v>3505</v>
      </c>
      <c r="F156" s="2">
        <v>223999</v>
      </c>
      <c r="G156" s="2">
        <v>1687</v>
      </c>
      <c r="H156" s="2">
        <v>199050</v>
      </c>
      <c r="I156" s="2">
        <v>14904</v>
      </c>
      <c r="J156" s="13">
        <v>19</v>
      </c>
      <c r="K156" s="43">
        <v>17</v>
      </c>
      <c r="L156" s="2"/>
    </row>
    <row r="157" spans="1:12">
      <c r="A157" s="1" t="s">
        <v>414</v>
      </c>
      <c r="B157" s="2" t="s">
        <v>46</v>
      </c>
      <c r="C157" s="2">
        <v>920</v>
      </c>
      <c r="D157" s="2">
        <v>1170562</v>
      </c>
      <c r="E157" s="2">
        <v>3870</v>
      </c>
      <c r="F157" s="2">
        <v>218773</v>
      </c>
      <c r="G157" s="2">
        <v>1668</v>
      </c>
      <c r="H157" s="2">
        <v>208263</v>
      </c>
      <c r="I157" s="2">
        <v>23365</v>
      </c>
      <c r="J157" s="13">
        <v>13</v>
      </c>
      <c r="K157" s="43">
        <v>15.25</v>
      </c>
      <c r="L157" s="2"/>
    </row>
    <row r="158" spans="1:12">
      <c r="A158" s="1" t="s">
        <v>415</v>
      </c>
      <c r="B158" s="2" t="s">
        <v>46</v>
      </c>
      <c r="C158" s="2">
        <v>920</v>
      </c>
      <c r="D158" s="2">
        <v>2839539</v>
      </c>
      <c r="E158" s="2">
        <v>6020</v>
      </c>
      <c r="F158" s="2">
        <v>546965</v>
      </c>
      <c r="G158" s="2">
        <v>2639</v>
      </c>
      <c r="H158" s="2">
        <v>776368</v>
      </c>
      <c r="I158" s="2">
        <v>44295</v>
      </c>
      <c r="J158" s="13">
        <v>15</v>
      </c>
      <c r="K158" s="43">
        <v>16.25</v>
      </c>
      <c r="L158" s="2"/>
    </row>
    <row r="159" spans="1:12">
      <c r="A159" s="1" t="s">
        <v>849</v>
      </c>
      <c r="B159" s="2" t="s">
        <v>46</v>
      </c>
      <c r="C159" s="2">
        <v>920</v>
      </c>
      <c r="D159" s="2">
        <v>3266019</v>
      </c>
      <c r="E159" s="2">
        <v>6446</v>
      </c>
      <c r="F159" s="2">
        <v>846636</v>
      </c>
      <c r="G159" s="2">
        <v>3279</v>
      </c>
      <c r="H159" s="2">
        <v>1061557</v>
      </c>
      <c r="I159" s="2">
        <v>38872</v>
      </c>
      <c r="J159" s="13">
        <v>21</v>
      </c>
      <c r="K159" s="2">
        <v>26</v>
      </c>
      <c r="L159" s="2"/>
    </row>
    <row r="160" spans="1:12">
      <c r="A160" s="1" t="s">
        <v>850</v>
      </c>
      <c r="B160" s="2" t="s">
        <v>46</v>
      </c>
      <c r="C160" s="2">
        <v>920</v>
      </c>
      <c r="D160" s="2">
        <v>3247563</v>
      </c>
      <c r="E160" s="2">
        <v>6463</v>
      </c>
      <c r="F160" s="2">
        <v>526112</v>
      </c>
      <c r="G160" s="2">
        <v>2605</v>
      </c>
      <c r="H160" s="2">
        <v>0</v>
      </c>
      <c r="I160" s="2">
        <v>43555</v>
      </c>
      <c r="J160" s="13">
        <v>16</v>
      </c>
      <c r="K160" s="2">
        <v>20</v>
      </c>
      <c r="L160" s="2"/>
    </row>
    <row r="161" spans="1:12">
      <c r="A161" s="1" t="s">
        <v>851</v>
      </c>
      <c r="B161" s="2" t="s">
        <v>46</v>
      </c>
      <c r="C161" s="2">
        <v>920</v>
      </c>
      <c r="D161" s="2">
        <v>2530896</v>
      </c>
      <c r="E161" s="2">
        <v>5680</v>
      </c>
      <c r="F161" s="2">
        <v>480515</v>
      </c>
      <c r="G161" s="2">
        <v>2476</v>
      </c>
      <c r="H161" s="2">
        <v>920895</v>
      </c>
      <c r="I161" s="2">
        <v>42810</v>
      </c>
      <c r="J161" s="13">
        <v>18</v>
      </c>
      <c r="K161" s="2">
        <v>21</v>
      </c>
      <c r="L161" s="2"/>
    </row>
    <row r="162" spans="1:12">
      <c r="A162" s="1" t="s">
        <v>852</v>
      </c>
      <c r="B162" s="2" t="s">
        <v>46</v>
      </c>
      <c r="C162" s="2">
        <v>920</v>
      </c>
      <c r="D162" s="2">
        <v>3467208</v>
      </c>
      <c r="E162" s="2">
        <v>6636</v>
      </c>
      <c r="F162" s="2">
        <v>722382</v>
      </c>
      <c r="G162" s="2">
        <v>3028</v>
      </c>
      <c r="H162" s="2">
        <v>1091493</v>
      </c>
      <c r="I162" s="2">
        <v>40790</v>
      </c>
      <c r="J162" s="13">
        <v>17</v>
      </c>
      <c r="K162" s="2">
        <v>22</v>
      </c>
      <c r="L162" s="2"/>
    </row>
    <row r="163" spans="1:12">
      <c r="A163" s="1" t="s">
        <v>853</v>
      </c>
      <c r="B163" s="2" t="s">
        <v>310</v>
      </c>
      <c r="C163" s="2">
        <v>500</v>
      </c>
      <c r="D163" s="2">
        <v>1073214</v>
      </c>
      <c r="E163" s="2">
        <v>3694</v>
      </c>
      <c r="F163" s="2">
        <v>167536</v>
      </c>
      <c r="G163" s="2">
        <v>1463</v>
      </c>
      <c r="H163" s="2">
        <v>84189</v>
      </c>
      <c r="I163" s="2">
        <v>12944</v>
      </c>
      <c r="J163" s="13">
        <v>13</v>
      </c>
      <c r="K163" s="2">
        <v>21</v>
      </c>
      <c r="L163" s="2"/>
    </row>
    <row r="164" spans="1:12">
      <c r="A164" s="1" t="s">
        <v>854</v>
      </c>
      <c r="B164" s="2" t="s">
        <v>46</v>
      </c>
      <c r="C164" s="2">
        <v>920</v>
      </c>
      <c r="D164" s="2">
        <v>2985924</v>
      </c>
      <c r="E164" s="2">
        <v>6176</v>
      </c>
      <c r="F164" s="2">
        <v>599205</v>
      </c>
      <c r="G164" s="2">
        <v>2764</v>
      </c>
      <c r="H164" s="2">
        <v>475534</v>
      </c>
      <c r="I164" s="2">
        <v>46801</v>
      </c>
      <c r="J164" s="13">
        <v>16</v>
      </c>
      <c r="K164" s="2">
        <v>21</v>
      </c>
      <c r="L164" s="2"/>
    </row>
    <row r="165" spans="1:12">
      <c r="A165" s="1" t="s">
        <v>855</v>
      </c>
      <c r="B165" s="2" t="s">
        <v>310</v>
      </c>
      <c r="C165" s="2">
        <v>500</v>
      </c>
      <c r="D165" s="2">
        <v>974951</v>
      </c>
      <c r="E165" s="2">
        <v>3529</v>
      </c>
      <c r="F165" s="2">
        <v>207508</v>
      </c>
      <c r="G165" s="2">
        <v>1629</v>
      </c>
      <c r="H165" s="2">
        <v>361037</v>
      </c>
      <c r="I165" s="2">
        <v>11329</v>
      </c>
      <c r="J165" s="13">
        <v>15</v>
      </c>
      <c r="K165" s="2">
        <v>20</v>
      </c>
      <c r="L165" s="2"/>
    </row>
    <row r="166" spans="1:12">
      <c r="A166" s="1" t="s">
        <v>856</v>
      </c>
      <c r="B166" s="2" t="s">
        <v>46</v>
      </c>
      <c r="C166" s="2">
        <v>920</v>
      </c>
      <c r="D166" s="2">
        <v>3217650</v>
      </c>
      <c r="E166" s="2">
        <v>6396</v>
      </c>
      <c r="F166" s="2">
        <v>479116</v>
      </c>
      <c r="G166" s="2">
        <v>2472</v>
      </c>
      <c r="H166" s="2">
        <v>66942</v>
      </c>
      <c r="I166" s="2">
        <v>48822</v>
      </c>
      <c r="J166" s="13">
        <v>14</v>
      </c>
      <c r="K166" s="2">
        <v>20</v>
      </c>
      <c r="L166" s="2"/>
    </row>
    <row r="167" spans="1:12">
      <c r="A167" s="1" t="s">
        <v>857</v>
      </c>
      <c r="B167" s="2" t="s">
        <v>310</v>
      </c>
      <c r="C167" s="2">
        <v>500</v>
      </c>
      <c r="D167" s="2">
        <v>1063197</v>
      </c>
      <c r="E167" s="2">
        <v>3677</v>
      </c>
      <c r="F167" s="2">
        <v>165762</v>
      </c>
      <c r="G167" s="2">
        <v>1453</v>
      </c>
      <c r="H167" s="2">
        <v>254043</v>
      </c>
      <c r="I167" s="2">
        <v>13602</v>
      </c>
      <c r="J167" s="13">
        <v>14</v>
      </c>
      <c r="K167" s="2">
        <v>21</v>
      </c>
      <c r="L167" s="2"/>
    </row>
    <row r="168" spans="1:12">
      <c r="A168" s="1" t="s">
        <v>1148</v>
      </c>
      <c r="B168" s="2" t="s">
        <v>46</v>
      </c>
      <c r="C168" s="2">
        <v>920</v>
      </c>
      <c r="D168" s="2">
        <v>2361726</v>
      </c>
      <c r="E168" s="43">
        <v>5457.2879999999996</v>
      </c>
      <c r="F168" s="2">
        <v>423009</v>
      </c>
      <c r="G168" s="2">
        <v>2339</v>
      </c>
      <c r="H168" s="2">
        <v>653041</v>
      </c>
      <c r="I168" s="2">
        <v>24268</v>
      </c>
      <c r="J168" s="13">
        <v>16</v>
      </c>
      <c r="K168" s="2">
        <v>23</v>
      </c>
      <c r="L168" s="2"/>
    </row>
    <row r="169" spans="1:12">
      <c r="A169" s="1" t="s">
        <v>1149</v>
      </c>
      <c r="B169" s="2" t="s">
        <v>46</v>
      </c>
      <c r="C169" s="2">
        <v>920</v>
      </c>
      <c r="D169" s="2">
        <v>1629786</v>
      </c>
      <c r="E169" s="43">
        <v>5097.7299999999996</v>
      </c>
      <c r="F169" s="2">
        <v>228737</v>
      </c>
      <c r="G169" s="2">
        <v>1736</v>
      </c>
      <c r="H169" s="2">
        <v>267763</v>
      </c>
      <c r="I169" s="2">
        <v>15973</v>
      </c>
      <c r="J169" s="13">
        <v>11</v>
      </c>
      <c r="K169" s="2">
        <v>17</v>
      </c>
      <c r="L169" s="2"/>
    </row>
    <row r="170" spans="1:12">
      <c r="A170" s="1" t="s">
        <v>1150</v>
      </c>
      <c r="B170" s="2" t="s">
        <v>46</v>
      </c>
      <c r="C170" s="2">
        <v>920</v>
      </c>
      <c r="D170" s="2">
        <v>2053482</v>
      </c>
      <c r="E170" s="2">
        <v>5155</v>
      </c>
      <c r="F170" s="2">
        <v>347017</v>
      </c>
      <c r="G170" s="2">
        <v>2120</v>
      </c>
      <c r="H170" s="2">
        <v>836947</v>
      </c>
      <c r="I170" s="2">
        <v>44323</v>
      </c>
      <c r="J170" s="13">
        <v>14</v>
      </c>
      <c r="K170" s="2">
        <v>19</v>
      </c>
      <c r="L170" s="2"/>
    </row>
    <row r="171" spans="1:12">
      <c r="A171" s="1" t="s">
        <v>1151</v>
      </c>
      <c r="B171" s="2" t="s">
        <v>46</v>
      </c>
      <c r="C171" s="2">
        <v>920</v>
      </c>
      <c r="D171" s="2">
        <v>2137731</v>
      </c>
      <c r="E171" s="2">
        <v>5210</v>
      </c>
      <c r="F171" s="2">
        <v>362545</v>
      </c>
      <c r="G171" s="2">
        <v>2158</v>
      </c>
      <c r="H171" s="2">
        <v>730626</v>
      </c>
      <c r="I171" s="2">
        <v>21588</v>
      </c>
      <c r="J171" s="13">
        <v>13</v>
      </c>
      <c r="K171" s="2">
        <v>20</v>
      </c>
      <c r="L171" s="2"/>
    </row>
    <row r="172" spans="1:12">
      <c r="A172" s="1" t="s">
        <v>1152</v>
      </c>
      <c r="B172" s="2" t="s">
        <v>46</v>
      </c>
      <c r="C172" s="2">
        <v>920</v>
      </c>
      <c r="D172" s="2">
        <v>2032416</v>
      </c>
      <c r="E172" s="2">
        <v>5089</v>
      </c>
      <c r="F172" s="2">
        <v>209472</v>
      </c>
      <c r="G172" s="2">
        <v>1649</v>
      </c>
      <c r="H172" s="2">
        <v>313203</v>
      </c>
      <c r="I172" s="2">
        <v>23299</v>
      </c>
      <c r="J172" s="13">
        <v>11</v>
      </c>
      <c r="K172" s="2">
        <v>17</v>
      </c>
      <c r="L172" s="2"/>
    </row>
    <row r="173" spans="1:12">
      <c r="A173" s="1" t="s">
        <v>1153</v>
      </c>
      <c r="B173" s="2" t="s">
        <v>46</v>
      </c>
      <c r="C173" s="2">
        <v>920</v>
      </c>
      <c r="D173" s="2">
        <v>1894236</v>
      </c>
      <c r="E173" s="2">
        <v>5205</v>
      </c>
      <c r="F173" s="2">
        <v>308980</v>
      </c>
      <c r="G173" s="2">
        <v>1992</v>
      </c>
      <c r="H173" s="2">
        <v>797302</v>
      </c>
      <c r="I173" s="2">
        <v>37360</v>
      </c>
      <c r="J173" s="13">
        <v>13</v>
      </c>
      <c r="K173" s="2">
        <v>17</v>
      </c>
      <c r="L173" s="2"/>
    </row>
    <row r="174" spans="1:12">
      <c r="A174" s="1" t="s">
        <v>583</v>
      </c>
      <c r="B174" s="2" t="s">
        <v>310</v>
      </c>
      <c r="C174" s="2">
        <v>500</v>
      </c>
      <c r="D174" s="2">
        <v>923396</v>
      </c>
      <c r="E174" s="2">
        <v>3428.0810000000001</v>
      </c>
      <c r="F174" s="2">
        <v>168728</v>
      </c>
      <c r="G174" s="2">
        <v>1465.096</v>
      </c>
      <c r="H174" s="2">
        <v>371023</v>
      </c>
      <c r="I174" s="2">
        <v>9482</v>
      </c>
      <c r="J174" s="13">
        <v>20</v>
      </c>
      <c r="K174" s="43">
        <v>23</v>
      </c>
      <c r="L174" s="2"/>
    </row>
    <row r="175" spans="1:12">
      <c r="A175" s="1" t="s">
        <v>584</v>
      </c>
      <c r="B175" s="2" t="s">
        <v>46</v>
      </c>
      <c r="C175" s="2">
        <v>920</v>
      </c>
      <c r="D175" s="2">
        <v>2150793</v>
      </c>
      <c r="E175" s="2">
        <v>5365.9650000000001</v>
      </c>
      <c r="F175" s="2">
        <v>211252</v>
      </c>
      <c r="G175" s="2">
        <v>1676.277</v>
      </c>
      <c r="H175" s="2">
        <v>595161</v>
      </c>
      <c r="I175" s="2">
        <v>15732</v>
      </c>
      <c r="J175" s="13">
        <v>9</v>
      </c>
      <c r="K175" s="43">
        <v>21</v>
      </c>
      <c r="L175" s="2"/>
    </row>
    <row r="176" spans="1:12">
      <c r="A176" s="1" t="s">
        <v>585</v>
      </c>
      <c r="B176" s="2" t="s">
        <v>46</v>
      </c>
      <c r="C176" s="2">
        <v>920</v>
      </c>
      <c r="D176" s="2">
        <v>3080895</v>
      </c>
      <c r="E176" s="2">
        <v>6440.4120000000003</v>
      </c>
      <c r="F176" s="2">
        <v>462676</v>
      </c>
      <c r="G176" s="2">
        <v>2426.3339999999998</v>
      </c>
      <c r="H176" s="2">
        <v>1224334</v>
      </c>
      <c r="I176" s="2">
        <v>44300</v>
      </c>
      <c r="J176" s="13">
        <v>17</v>
      </c>
      <c r="K176" s="43">
        <v>24</v>
      </c>
      <c r="L176" s="2"/>
    </row>
    <row r="177" spans="1:12">
      <c r="A177" s="1" t="s">
        <v>1154</v>
      </c>
      <c r="B177" s="2" t="s">
        <v>46</v>
      </c>
      <c r="C177" s="2">
        <v>920</v>
      </c>
      <c r="D177" s="2">
        <v>2068023</v>
      </c>
      <c r="E177" s="2">
        <v>5145</v>
      </c>
      <c r="F177" s="2">
        <v>358130</v>
      </c>
      <c r="G177" s="2">
        <v>2146</v>
      </c>
      <c r="H177" s="2">
        <v>565486</v>
      </c>
      <c r="I177" s="2">
        <v>22449</v>
      </c>
      <c r="J177" s="13">
        <v>18</v>
      </c>
      <c r="K177" s="2">
        <v>22</v>
      </c>
      <c r="L177" s="2"/>
    </row>
    <row r="178" spans="1:12">
      <c r="A178" s="1" t="s">
        <v>1155</v>
      </c>
      <c r="B178" s="2" t="s">
        <v>46</v>
      </c>
      <c r="C178" s="2">
        <v>920</v>
      </c>
      <c r="D178" s="2">
        <v>1816428</v>
      </c>
      <c r="E178" s="2">
        <v>4862</v>
      </c>
      <c r="F178" s="2">
        <v>283478</v>
      </c>
      <c r="G178" s="2">
        <v>1933</v>
      </c>
      <c r="H178" s="2">
        <v>705392</v>
      </c>
      <c r="I178" s="2">
        <v>30375</v>
      </c>
      <c r="J178" s="13">
        <v>12</v>
      </c>
      <c r="K178" s="2">
        <v>18</v>
      </c>
      <c r="L178" s="2"/>
    </row>
    <row r="179" spans="1:12">
      <c r="A179" s="1" t="s">
        <v>1156</v>
      </c>
      <c r="B179" s="2" t="s">
        <v>46</v>
      </c>
      <c r="C179" s="2">
        <v>920</v>
      </c>
      <c r="D179" s="2">
        <v>2131494</v>
      </c>
      <c r="E179" s="2">
        <v>5209</v>
      </c>
      <c r="F179" s="2">
        <v>314007</v>
      </c>
      <c r="G179" s="2">
        <v>2010</v>
      </c>
      <c r="H179" s="2">
        <v>778880</v>
      </c>
      <c r="I179" s="2">
        <v>27511</v>
      </c>
      <c r="J179" s="13">
        <v>15</v>
      </c>
      <c r="K179" s="2">
        <v>19</v>
      </c>
      <c r="L179" s="2"/>
    </row>
    <row r="180" spans="1:12">
      <c r="A180" s="1" t="s">
        <v>1157</v>
      </c>
      <c r="B180" s="2" t="s">
        <v>46</v>
      </c>
      <c r="C180" s="2">
        <v>920</v>
      </c>
      <c r="D180" s="2">
        <v>2192160</v>
      </c>
      <c r="E180" s="2">
        <v>5288</v>
      </c>
      <c r="F180" s="2">
        <v>376498</v>
      </c>
      <c r="G180" s="2">
        <v>2199</v>
      </c>
      <c r="H180" s="2">
        <v>424171</v>
      </c>
      <c r="I180" s="2">
        <v>20774</v>
      </c>
      <c r="J180" s="13">
        <v>19</v>
      </c>
      <c r="K180" s="2">
        <v>24</v>
      </c>
      <c r="L180" s="2"/>
    </row>
    <row r="181" spans="1:12">
      <c r="A181" s="1" t="s">
        <v>1158</v>
      </c>
      <c r="B181" s="2" t="s">
        <v>46</v>
      </c>
      <c r="C181" s="2">
        <v>920</v>
      </c>
      <c r="D181" s="2">
        <v>2481393</v>
      </c>
      <c r="E181" s="2">
        <v>5681</v>
      </c>
      <c r="F181" s="2">
        <v>335161</v>
      </c>
      <c r="G181" s="2">
        <v>2076</v>
      </c>
      <c r="H181" s="2">
        <v>398642</v>
      </c>
      <c r="I181" s="2">
        <v>27117</v>
      </c>
      <c r="J181" s="13">
        <v>14</v>
      </c>
      <c r="K181" s="2">
        <v>20</v>
      </c>
      <c r="L181" s="2"/>
    </row>
    <row r="182" spans="1:12">
      <c r="A182" s="1" t="s">
        <v>1159</v>
      </c>
      <c r="B182" s="2" t="s">
        <v>46</v>
      </c>
      <c r="C182" s="2">
        <v>920</v>
      </c>
      <c r="D182" s="2">
        <v>2052489</v>
      </c>
      <c r="E182" s="2">
        <v>5193</v>
      </c>
      <c r="F182" s="2">
        <v>299542</v>
      </c>
      <c r="G182" s="2">
        <v>1966</v>
      </c>
      <c r="H182" s="2">
        <v>745925</v>
      </c>
      <c r="I182" s="2">
        <v>26897</v>
      </c>
      <c r="J182" s="13">
        <v>14</v>
      </c>
      <c r="K182" s="2">
        <v>20</v>
      </c>
      <c r="L182" s="2"/>
    </row>
    <row r="183" spans="1:12">
      <c r="A183" s="1" t="s">
        <v>416</v>
      </c>
      <c r="B183" s="2" t="s">
        <v>46</v>
      </c>
      <c r="C183" s="2">
        <v>920</v>
      </c>
      <c r="D183" s="2">
        <v>2621748</v>
      </c>
      <c r="E183" s="2">
        <v>5779</v>
      </c>
      <c r="F183" s="2">
        <v>461688</v>
      </c>
      <c r="G183" s="2">
        <v>2433</v>
      </c>
      <c r="H183" s="2">
        <v>632303</v>
      </c>
      <c r="I183" s="2">
        <v>28896</v>
      </c>
      <c r="J183" s="13">
        <v>18</v>
      </c>
      <c r="K183" s="43">
        <v>23.25</v>
      </c>
      <c r="L183" s="2"/>
    </row>
    <row r="184" spans="1:12">
      <c r="A184" s="1" t="s">
        <v>417</v>
      </c>
      <c r="B184" s="2" t="s">
        <v>310</v>
      </c>
      <c r="C184" s="2">
        <v>500</v>
      </c>
      <c r="D184" s="2">
        <v>569049</v>
      </c>
      <c r="E184" s="2">
        <v>2696</v>
      </c>
      <c r="F184" s="2">
        <v>77415</v>
      </c>
      <c r="G184" s="2">
        <v>996</v>
      </c>
      <c r="H184" s="2">
        <v>0</v>
      </c>
      <c r="I184" s="2">
        <v>8870</v>
      </c>
      <c r="J184" s="13">
        <v>12</v>
      </c>
      <c r="K184" s="43">
        <v>18</v>
      </c>
      <c r="L184" s="2"/>
    </row>
    <row r="185" spans="1:12">
      <c r="A185" s="1" t="s">
        <v>418</v>
      </c>
      <c r="B185" s="2" t="s">
        <v>46</v>
      </c>
      <c r="C185" s="2">
        <v>920</v>
      </c>
      <c r="D185" s="2">
        <v>2486253</v>
      </c>
      <c r="E185" s="2">
        <v>5730</v>
      </c>
      <c r="F185" s="2">
        <v>378130</v>
      </c>
      <c r="G185" s="2">
        <v>2191</v>
      </c>
      <c r="H185" s="2">
        <v>564045</v>
      </c>
      <c r="I185" s="2">
        <v>34156</v>
      </c>
      <c r="J185" s="13">
        <v>13</v>
      </c>
      <c r="K185" s="43">
        <v>19.5</v>
      </c>
      <c r="L185" s="2"/>
    </row>
    <row r="186" spans="1:12">
      <c r="A186" s="1" t="s">
        <v>419</v>
      </c>
      <c r="B186" s="2" t="s">
        <v>46</v>
      </c>
      <c r="C186" s="2">
        <v>920</v>
      </c>
      <c r="D186" s="2">
        <v>2099832</v>
      </c>
      <c r="E186" s="2">
        <v>5165</v>
      </c>
      <c r="F186" s="2">
        <v>370362</v>
      </c>
      <c r="G186" s="2">
        <v>2177</v>
      </c>
      <c r="H186" s="2">
        <v>551086</v>
      </c>
      <c r="I186" s="2">
        <v>22088</v>
      </c>
      <c r="J186" s="13">
        <v>16</v>
      </c>
      <c r="K186" s="43">
        <v>23.332999999999998</v>
      </c>
      <c r="L186" s="2"/>
    </row>
    <row r="187" spans="1:12">
      <c r="A187" s="1" t="s">
        <v>420</v>
      </c>
      <c r="B187" s="2" t="s">
        <v>46</v>
      </c>
      <c r="C187" s="2">
        <v>920</v>
      </c>
      <c r="D187" s="2">
        <v>1965342</v>
      </c>
      <c r="E187" s="2">
        <v>5088</v>
      </c>
      <c r="F187" s="2">
        <v>287453</v>
      </c>
      <c r="G187" s="2">
        <v>1927</v>
      </c>
      <c r="H187" s="2">
        <v>333136</v>
      </c>
      <c r="I187" s="2">
        <v>27616</v>
      </c>
      <c r="J187" s="13">
        <v>13</v>
      </c>
      <c r="K187" s="43">
        <v>18.5</v>
      </c>
      <c r="L187" s="2"/>
    </row>
    <row r="188" spans="1:12">
      <c r="A188" s="1" t="s">
        <v>421</v>
      </c>
      <c r="B188" s="2" t="s">
        <v>46</v>
      </c>
      <c r="C188" s="2">
        <v>920</v>
      </c>
      <c r="D188" s="2">
        <v>2110863</v>
      </c>
      <c r="E188" s="2">
        <v>5231</v>
      </c>
      <c r="F188" s="2">
        <v>287246</v>
      </c>
      <c r="G188" s="2">
        <v>1911</v>
      </c>
      <c r="H188" s="2">
        <v>680773</v>
      </c>
      <c r="I188" s="2">
        <v>33183</v>
      </c>
      <c r="J188" s="13">
        <v>13</v>
      </c>
      <c r="K188" s="43">
        <v>19.5</v>
      </c>
      <c r="L188" s="2"/>
    </row>
    <row r="189" spans="1:12">
      <c r="A189" s="1" t="s">
        <v>422</v>
      </c>
      <c r="B189" s="2" t="s">
        <v>46</v>
      </c>
      <c r="C189" s="2">
        <v>920</v>
      </c>
      <c r="D189" s="2">
        <v>2193771</v>
      </c>
      <c r="E189" s="2">
        <v>5285</v>
      </c>
      <c r="F189" s="2">
        <v>383678</v>
      </c>
      <c r="G189" s="2">
        <v>2216</v>
      </c>
      <c r="H189" s="2">
        <v>649694</v>
      </c>
      <c r="I189" s="2">
        <v>24891</v>
      </c>
      <c r="J189" s="13">
        <v>15</v>
      </c>
      <c r="K189" s="43">
        <v>27</v>
      </c>
      <c r="L189" s="2"/>
    </row>
    <row r="190" spans="1:12">
      <c r="A190" s="1" t="s">
        <v>423</v>
      </c>
      <c r="B190" s="2" t="s">
        <v>46</v>
      </c>
      <c r="C190" s="2">
        <v>920</v>
      </c>
      <c r="D190" s="2">
        <v>1926180</v>
      </c>
      <c r="E190" s="2">
        <v>4960</v>
      </c>
      <c r="F190" s="2">
        <v>224707</v>
      </c>
      <c r="G190" s="2">
        <v>1724</v>
      </c>
      <c r="H190" s="2">
        <v>29068</v>
      </c>
      <c r="I190" s="2">
        <v>24442</v>
      </c>
      <c r="J190" s="13">
        <v>10</v>
      </c>
      <c r="K190" s="43">
        <v>17.75</v>
      </c>
      <c r="L190" s="2"/>
    </row>
    <row r="191" spans="1:12">
      <c r="A191" s="1" t="s">
        <v>424</v>
      </c>
      <c r="B191" s="2" t="s">
        <v>46</v>
      </c>
      <c r="C191" s="2">
        <v>920</v>
      </c>
      <c r="D191" s="2">
        <v>2251077</v>
      </c>
      <c r="E191" s="2">
        <v>5365</v>
      </c>
      <c r="F191" s="2">
        <v>341678</v>
      </c>
      <c r="G191" s="2">
        <v>2087</v>
      </c>
      <c r="H191" s="2">
        <v>432818</v>
      </c>
      <c r="I191" s="2">
        <v>43620</v>
      </c>
      <c r="J191" s="13">
        <v>13</v>
      </c>
      <c r="K191" s="43">
        <v>18.667000000000002</v>
      </c>
      <c r="L191" s="2"/>
    </row>
    <row r="192" spans="1:12">
      <c r="A192" s="1" t="s">
        <v>586</v>
      </c>
      <c r="B192" s="2" t="s">
        <v>46</v>
      </c>
      <c r="C192" s="2">
        <v>920</v>
      </c>
      <c r="D192" s="2">
        <v>2460678</v>
      </c>
      <c r="E192" s="2">
        <v>5607.8639999999996</v>
      </c>
      <c r="F192" s="2">
        <v>517147</v>
      </c>
      <c r="G192" s="2">
        <v>2606.5830000000001</v>
      </c>
      <c r="H192" s="2">
        <v>362043</v>
      </c>
      <c r="I192" s="2">
        <v>20358</v>
      </c>
      <c r="J192" s="13">
        <v>19</v>
      </c>
      <c r="K192" s="43">
        <v>22</v>
      </c>
      <c r="L192" s="2"/>
    </row>
    <row r="193" spans="1:12">
      <c r="A193" s="1" t="s">
        <v>587</v>
      </c>
      <c r="B193" s="2" t="s">
        <v>46</v>
      </c>
      <c r="C193" s="2">
        <v>920</v>
      </c>
      <c r="D193" s="2">
        <v>2125557</v>
      </c>
      <c r="E193" s="2">
        <v>5394.027</v>
      </c>
      <c r="F193" s="2">
        <v>272672</v>
      </c>
      <c r="G193" s="2">
        <v>1894.5160000000001</v>
      </c>
      <c r="H193" s="2">
        <v>306616</v>
      </c>
      <c r="I193" s="2">
        <v>27159</v>
      </c>
      <c r="J193" s="13">
        <v>14</v>
      </c>
      <c r="K193" s="43">
        <v>21</v>
      </c>
      <c r="L193" s="2"/>
    </row>
    <row r="194" spans="1:12">
      <c r="A194" s="1" t="s">
        <v>588</v>
      </c>
      <c r="B194" s="2" t="s">
        <v>46</v>
      </c>
      <c r="C194" s="2">
        <v>920</v>
      </c>
      <c r="D194" s="2">
        <v>3006831</v>
      </c>
      <c r="E194" s="2">
        <v>6213.84</v>
      </c>
      <c r="F194" s="2">
        <v>438362</v>
      </c>
      <c r="G194" s="2">
        <v>2374.672</v>
      </c>
      <c r="H194" s="2">
        <v>1117304</v>
      </c>
      <c r="I194" s="2">
        <v>46959</v>
      </c>
      <c r="J194" s="13">
        <v>14</v>
      </c>
      <c r="K194" s="43">
        <v>22</v>
      </c>
      <c r="L194" s="2"/>
    </row>
    <row r="195" spans="1:12">
      <c r="A195" s="1" t="s">
        <v>589</v>
      </c>
      <c r="B195" s="2" t="s">
        <v>46</v>
      </c>
      <c r="C195" s="2">
        <v>920</v>
      </c>
      <c r="D195" s="2">
        <v>2930118</v>
      </c>
      <c r="E195" s="2">
        <v>6107.5460000000003</v>
      </c>
      <c r="F195" s="2">
        <v>539925</v>
      </c>
      <c r="G195" s="2">
        <v>2624.36</v>
      </c>
      <c r="H195" s="2">
        <v>1082924</v>
      </c>
      <c r="I195" s="2">
        <v>35215</v>
      </c>
      <c r="J195" s="13">
        <v>19</v>
      </c>
      <c r="K195" s="43">
        <v>24</v>
      </c>
      <c r="L195" s="2"/>
    </row>
    <row r="196" spans="1:12">
      <c r="A196" s="1" t="s">
        <v>590</v>
      </c>
      <c r="B196" s="2" t="s">
        <v>46</v>
      </c>
      <c r="C196" s="2">
        <v>920</v>
      </c>
      <c r="D196" s="2">
        <v>3075558</v>
      </c>
      <c r="E196" s="2">
        <v>6479.1369999999997</v>
      </c>
      <c r="F196" s="2">
        <v>384036</v>
      </c>
      <c r="G196" s="2">
        <v>2270.3159999999998</v>
      </c>
      <c r="H196" s="2">
        <v>164326</v>
      </c>
      <c r="I196" s="2">
        <v>37674</v>
      </c>
      <c r="J196" s="13">
        <v>14</v>
      </c>
      <c r="K196" s="43">
        <v>21</v>
      </c>
      <c r="L196" s="2"/>
    </row>
    <row r="197" spans="1:12">
      <c r="A197" s="1" t="s">
        <v>591</v>
      </c>
      <c r="B197" s="2" t="s">
        <v>46</v>
      </c>
      <c r="C197" s="2">
        <v>920</v>
      </c>
      <c r="D197" s="2">
        <v>3221487</v>
      </c>
      <c r="E197" s="2">
        <v>6435.585</v>
      </c>
      <c r="F197" s="2">
        <v>496194</v>
      </c>
      <c r="G197" s="2">
        <v>2534.1080000000002</v>
      </c>
      <c r="H197" s="2">
        <v>1089236</v>
      </c>
      <c r="I197" s="2">
        <v>47042</v>
      </c>
      <c r="J197" s="13">
        <v>16</v>
      </c>
      <c r="K197" s="43">
        <v>22</v>
      </c>
      <c r="L197" s="2"/>
    </row>
    <row r="198" spans="1:12">
      <c r="A198" s="1" t="s">
        <v>425</v>
      </c>
      <c r="B198" s="2" t="s">
        <v>46</v>
      </c>
      <c r="C198" s="2">
        <v>920</v>
      </c>
      <c r="D198" s="2">
        <v>2172576</v>
      </c>
      <c r="E198" s="2">
        <v>5295</v>
      </c>
      <c r="F198" s="2">
        <v>392609</v>
      </c>
      <c r="G198" s="2">
        <v>2242</v>
      </c>
      <c r="H198" s="2">
        <v>530906</v>
      </c>
      <c r="I198" s="2">
        <v>21872</v>
      </c>
      <c r="J198" s="13">
        <v>16</v>
      </c>
      <c r="K198" s="43">
        <v>23.332999999999998</v>
      </c>
      <c r="L198" s="2"/>
    </row>
    <row r="199" spans="1:12">
      <c r="A199" s="1" t="s">
        <v>426</v>
      </c>
      <c r="B199" s="2" t="s">
        <v>46</v>
      </c>
      <c r="C199" s="2">
        <v>920</v>
      </c>
      <c r="D199" s="2">
        <v>1993149</v>
      </c>
      <c r="E199" s="2">
        <v>5101</v>
      </c>
      <c r="F199" s="2">
        <v>287976</v>
      </c>
      <c r="G199" s="2">
        <v>1924</v>
      </c>
      <c r="H199" s="2">
        <v>0</v>
      </c>
      <c r="I199" s="2">
        <v>29813</v>
      </c>
      <c r="J199" s="13">
        <v>13</v>
      </c>
      <c r="K199" s="43">
        <v>20</v>
      </c>
      <c r="L199" s="2"/>
    </row>
    <row r="200" spans="1:12">
      <c r="A200" s="1" t="s">
        <v>427</v>
      </c>
      <c r="B200" s="2" t="s">
        <v>46</v>
      </c>
      <c r="C200" s="2">
        <v>920</v>
      </c>
      <c r="D200" s="2">
        <v>2430051</v>
      </c>
      <c r="E200" s="2">
        <v>5612</v>
      </c>
      <c r="F200" s="2">
        <v>377362</v>
      </c>
      <c r="G200" s="2">
        <v>2203</v>
      </c>
      <c r="H200" s="2">
        <v>871552</v>
      </c>
      <c r="I200" s="2">
        <v>29511</v>
      </c>
      <c r="J200" s="13">
        <v>13</v>
      </c>
      <c r="K200" s="43">
        <v>20</v>
      </c>
      <c r="L200" s="2"/>
    </row>
    <row r="201" spans="1:12">
      <c r="A201" s="1" t="s">
        <v>592</v>
      </c>
      <c r="B201" s="2" t="s">
        <v>46</v>
      </c>
      <c r="C201" s="2">
        <v>920</v>
      </c>
      <c r="D201" s="2">
        <v>2977161</v>
      </c>
      <c r="E201" s="2">
        <v>6146.6149999999998</v>
      </c>
      <c r="F201" s="2">
        <v>566537</v>
      </c>
      <c r="G201" s="2">
        <v>2683.4259999999999</v>
      </c>
      <c r="H201" s="2">
        <v>914851</v>
      </c>
      <c r="I201" s="2">
        <v>30421</v>
      </c>
      <c r="J201" s="13">
        <v>16</v>
      </c>
      <c r="K201" s="43">
        <v>22</v>
      </c>
      <c r="L201" s="2"/>
    </row>
    <row r="202" spans="1:12">
      <c r="A202" s="1" t="s">
        <v>593</v>
      </c>
      <c r="B202" s="2" t="s">
        <v>46</v>
      </c>
      <c r="C202" s="2">
        <v>920</v>
      </c>
      <c r="D202" s="2">
        <v>2557263</v>
      </c>
      <c r="E202" s="2">
        <v>5725.8779999999997</v>
      </c>
      <c r="F202" s="2">
        <v>353619</v>
      </c>
      <c r="G202" s="2">
        <v>2136.5309999999999</v>
      </c>
      <c r="H202" s="2">
        <v>433202</v>
      </c>
      <c r="I202" s="2">
        <v>34250</v>
      </c>
      <c r="J202" s="13">
        <v>12</v>
      </c>
      <c r="K202" s="43">
        <v>20</v>
      </c>
      <c r="L202" s="2"/>
    </row>
    <row r="203" spans="1:12">
      <c r="A203" s="1" t="s">
        <v>594</v>
      </c>
      <c r="B203" s="2" t="s">
        <v>46</v>
      </c>
      <c r="C203" s="2">
        <v>920</v>
      </c>
      <c r="D203" s="2">
        <v>2714388</v>
      </c>
      <c r="E203" s="2">
        <v>5922.85</v>
      </c>
      <c r="F203" s="2">
        <v>405836</v>
      </c>
      <c r="G203" s="2">
        <v>2273.8490000000002</v>
      </c>
      <c r="H203" s="2">
        <v>883515</v>
      </c>
      <c r="I203" s="2">
        <v>45792</v>
      </c>
      <c r="J203" s="13">
        <v>15</v>
      </c>
      <c r="K203" s="43">
        <v>22</v>
      </c>
      <c r="L203" s="2"/>
    </row>
    <row r="204" spans="1:12">
      <c r="A204" s="1" t="s">
        <v>858</v>
      </c>
      <c r="B204" s="2" t="s">
        <v>46</v>
      </c>
      <c r="C204" s="2">
        <v>920</v>
      </c>
      <c r="D204" s="2">
        <v>691504</v>
      </c>
      <c r="E204" s="2">
        <v>2973</v>
      </c>
      <c r="F204" s="2">
        <v>127708</v>
      </c>
      <c r="G204" s="2">
        <v>1276</v>
      </c>
      <c r="H204" s="2">
        <v>213504</v>
      </c>
      <c r="I204" s="2">
        <v>13991</v>
      </c>
      <c r="J204" s="13">
        <v>14</v>
      </c>
      <c r="K204" s="2">
        <v>16</v>
      </c>
      <c r="L204" s="2"/>
    </row>
    <row r="205" spans="1:12">
      <c r="A205" s="1" t="s">
        <v>859</v>
      </c>
      <c r="B205" s="2" t="s">
        <v>46</v>
      </c>
      <c r="C205" s="2">
        <v>920</v>
      </c>
      <c r="D205" s="2">
        <v>1696563</v>
      </c>
      <c r="E205" s="2">
        <v>4643</v>
      </c>
      <c r="F205" s="2">
        <v>160195</v>
      </c>
      <c r="G205" s="2">
        <v>1430</v>
      </c>
      <c r="H205" s="2">
        <v>130682</v>
      </c>
      <c r="I205" s="2">
        <v>22635</v>
      </c>
      <c r="J205" s="13">
        <v>8</v>
      </c>
      <c r="K205" s="2">
        <v>16</v>
      </c>
      <c r="L205" s="2"/>
    </row>
    <row r="206" spans="1:12">
      <c r="A206" s="1" t="s">
        <v>860</v>
      </c>
      <c r="B206" s="2" t="s">
        <v>46</v>
      </c>
      <c r="C206" s="2">
        <v>920</v>
      </c>
      <c r="D206" s="2">
        <v>1133703</v>
      </c>
      <c r="E206" s="2">
        <v>3838</v>
      </c>
      <c r="F206" s="2">
        <v>176538</v>
      </c>
      <c r="G206" s="2">
        <v>1497</v>
      </c>
      <c r="H206" s="2">
        <v>409758</v>
      </c>
      <c r="I206" s="2">
        <v>28298</v>
      </c>
      <c r="J206" s="13">
        <v>8</v>
      </c>
      <c r="K206" s="2">
        <v>13</v>
      </c>
      <c r="L206" s="2"/>
    </row>
    <row r="207" spans="1:12">
      <c r="A207" s="1" t="s">
        <v>861</v>
      </c>
      <c r="B207" s="2" t="s">
        <v>310</v>
      </c>
      <c r="C207" s="2">
        <v>500</v>
      </c>
      <c r="D207" s="2">
        <v>1068561</v>
      </c>
      <c r="E207" s="2">
        <v>3688</v>
      </c>
      <c r="F207" s="2">
        <v>185626</v>
      </c>
      <c r="G207" s="2">
        <v>1562</v>
      </c>
      <c r="H207" s="2">
        <v>206953</v>
      </c>
      <c r="I207" s="2">
        <v>11103</v>
      </c>
      <c r="J207" s="13">
        <v>22</v>
      </c>
      <c r="K207" s="2" t="s">
        <v>287</v>
      </c>
      <c r="L207" s="2"/>
    </row>
    <row r="208" spans="1:12">
      <c r="A208" s="1" t="s">
        <v>862</v>
      </c>
      <c r="B208" s="2" t="s">
        <v>46</v>
      </c>
      <c r="C208" s="2">
        <v>920</v>
      </c>
      <c r="D208" s="2">
        <v>2311989</v>
      </c>
      <c r="E208" s="2">
        <v>5453</v>
      </c>
      <c r="F208" s="2">
        <v>337612</v>
      </c>
      <c r="G208" s="2">
        <v>2083</v>
      </c>
      <c r="H208" s="2">
        <v>201681</v>
      </c>
      <c r="I208" s="2">
        <v>32592</v>
      </c>
      <c r="J208" s="13">
        <v>13</v>
      </c>
      <c r="K208" s="2">
        <v>21</v>
      </c>
      <c r="L208" s="2"/>
    </row>
    <row r="209" spans="1:12">
      <c r="A209" s="1" t="s">
        <v>863</v>
      </c>
      <c r="B209" s="2" t="s">
        <v>46</v>
      </c>
      <c r="C209" s="2">
        <v>920</v>
      </c>
      <c r="D209" s="2">
        <v>3244008</v>
      </c>
      <c r="E209" s="2">
        <v>6468</v>
      </c>
      <c r="F209" s="2">
        <v>487271</v>
      </c>
      <c r="G209" s="2">
        <v>2519</v>
      </c>
      <c r="H209" s="2">
        <v>1049187</v>
      </c>
      <c r="I209" s="2">
        <v>42935</v>
      </c>
      <c r="J209" s="13">
        <v>16</v>
      </c>
      <c r="K209" s="2">
        <v>23</v>
      </c>
      <c r="L209" s="2"/>
    </row>
    <row r="210" spans="1:12">
      <c r="A210" s="1" t="s">
        <v>1160</v>
      </c>
      <c r="B210" s="2" t="s">
        <v>46</v>
      </c>
      <c r="C210" s="2">
        <v>920</v>
      </c>
      <c r="D210" s="2">
        <v>1837191</v>
      </c>
      <c r="E210" s="2">
        <v>4867</v>
      </c>
      <c r="F210" s="2">
        <v>356981</v>
      </c>
      <c r="G210" s="2">
        <v>2134</v>
      </c>
      <c r="H210" s="2">
        <v>549362</v>
      </c>
      <c r="I210" s="2">
        <v>36425</v>
      </c>
      <c r="J210" s="13">
        <v>17</v>
      </c>
      <c r="K210" s="2">
        <v>18</v>
      </c>
      <c r="L210" s="2"/>
    </row>
    <row r="211" spans="1:12">
      <c r="A211" s="1" t="s">
        <v>1161</v>
      </c>
      <c r="B211" s="2" t="s">
        <v>46</v>
      </c>
      <c r="C211" s="2">
        <v>920</v>
      </c>
      <c r="D211" s="2">
        <v>1665336</v>
      </c>
      <c r="E211" s="2">
        <v>4686</v>
      </c>
      <c r="F211" s="2">
        <v>223601</v>
      </c>
      <c r="G211" s="2">
        <v>1701</v>
      </c>
      <c r="H211" s="2">
        <v>58033</v>
      </c>
      <c r="I211" s="2">
        <v>31689</v>
      </c>
      <c r="J211" s="13">
        <v>11</v>
      </c>
      <c r="K211" s="2">
        <v>19</v>
      </c>
      <c r="L211" s="2"/>
    </row>
    <row r="212" spans="1:12">
      <c r="A212" s="1" t="s">
        <v>1162</v>
      </c>
      <c r="B212" s="2" t="s">
        <v>46</v>
      </c>
      <c r="C212" s="2">
        <v>920</v>
      </c>
      <c r="D212" s="2">
        <v>1808661</v>
      </c>
      <c r="E212" s="2">
        <v>4800</v>
      </c>
      <c r="F212" s="2">
        <v>342460</v>
      </c>
      <c r="G212" s="2">
        <v>2090</v>
      </c>
      <c r="H212" s="2">
        <v>751125</v>
      </c>
      <c r="I212" s="2">
        <v>51771</v>
      </c>
      <c r="J212" s="13">
        <v>15</v>
      </c>
      <c r="K212" s="2">
        <v>19</v>
      </c>
      <c r="L212" s="2"/>
    </row>
    <row r="213" spans="1:12">
      <c r="A213" s="1" t="s">
        <v>1163</v>
      </c>
      <c r="B213" s="2" t="s">
        <v>46</v>
      </c>
      <c r="C213" s="2">
        <v>920</v>
      </c>
      <c r="D213" s="2">
        <v>2758395</v>
      </c>
      <c r="E213" s="2">
        <v>5929</v>
      </c>
      <c r="F213" s="2">
        <v>573811</v>
      </c>
      <c r="G213" s="2">
        <v>2706</v>
      </c>
      <c r="H213" s="2">
        <v>404598</v>
      </c>
      <c r="I213" s="2">
        <v>35239</v>
      </c>
      <c r="J213" s="13">
        <v>19</v>
      </c>
      <c r="K213" s="2">
        <v>21</v>
      </c>
      <c r="L213" s="2"/>
    </row>
    <row r="214" spans="1:12">
      <c r="A214" s="1" t="s">
        <v>1164</v>
      </c>
      <c r="B214" s="2" t="s">
        <v>46</v>
      </c>
      <c r="C214" s="2">
        <v>920</v>
      </c>
      <c r="D214" s="2">
        <v>2539422</v>
      </c>
      <c r="E214" s="2">
        <v>5829</v>
      </c>
      <c r="F214" s="2">
        <v>464266</v>
      </c>
      <c r="G214" s="2">
        <v>2439</v>
      </c>
      <c r="H214" s="2">
        <v>0</v>
      </c>
      <c r="I214" s="2">
        <v>40548</v>
      </c>
      <c r="J214" s="13">
        <v>18</v>
      </c>
      <c r="K214" s="2">
        <v>21</v>
      </c>
      <c r="L214" s="2"/>
    </row>
    <row r="215" spans="1:12">
      <c r="A215" s="1" t="s">
        <v>1165</v>
      </c>
      <c r="B215" s="2" t="s">
        <v>46</v>
      </c>
      <c r="C215" s="2">
        <v>920</v>
      </c>
      <c r="D215" s="2">
        <v>2991570</v>
      </c>
      <c r="E215" s="2">
        <v>6162</v>
      </c>
      <c r="F215" s="2">
        <v>530486</v>
      </c>
      <c r="G215" s="2">
        <v>2604</v>
      </c>
      <c r="H215" s="2">
        <v>0</v>
      </c>
      <c r="I215" s="2">
        <v>44161</v>
      </c>
      <c r="J215" s="13">
        <v>18</v>
      </c>
      <c r="K215" s="2">
        <v>21</v>
      </c>
      <c r="L215" s="2"/>
    </row>
    <row r="216" spans="1:12">
      <c r="A216" s="1" t="s">
        <v>864</v>
      </c>
      <c r="B216" s="2" t="s">
        <v>46</v>
      </c>
      <c r="C216" s="2">
        <v>920</v>
      </c>
      <c r="D216" s="2">
        <v>2209548</v>
      </c>
      <c r="E216" s="2">
        <v>5303</v>
      </c>
      <c r="F216" s="2">
        <v>475953</v>
      </c>
      <c r="G216" s="2">
        <v>2468</v>
      </c>
      <c r="H216" s="2">
        <v>698313</v>
      </c>
      <c r="I216" s="2">
        <v>42859</v>
      </c>
      <c r="J216" s="13">
        <v>16</v>
      </c>
      <c r="K216" s="2">
        <v>21</v>
      </c>
      <c r="L216" s="2"/>
    </row>
    <row r="217" spans="1:12">
      <c r="A217" s="1" t="s">
        <v>865</v>
      </c>
      <c r="B217" s="2" t="s">
        <v>46</v>
      </c>
      <c r="C217" s="2">
        <v>920</v>
      </c>
      <c r="D217" s="2">
        <v>2692107</v>
      </c>
      <c r="E217" s="2">
        <v>5911</v>
      </c>
      <c r="F217" s="2">
        <v>434857</v>
      </c>
      <c r="G217" s="2">
        <v>2363</v>
      </c>
      <c r="H217" s="2">
        <v>1033780</v>
      </c>
      <c r="I217" s="2">
        <v>66830</v>
      </c>
      <c r="J217" s="13">
        <v>14</v>
      </c>
      <c r="K217" s="2">
        <v>20</v>
      </c>
      <c r="L217" s="2"/>
    </row>
    <row r="218" spans="1:12">
      <c r="A218" s="1" t="s">
        <v>866</v>
      </c>
      <c r="B218" s="2" t="s">
        <v>46</v>
      </c>
      <c r="C218" s="2">
        <v>920</v>
      </c>
      <c r="D218" s="2">
        <v>3043545</v>
      </c>
      <c r="E218" s="2">
        <v>6260</v>
      </c>
      <c r="F218" s="2">
        <v>490821</v>
      </c>
      <c r="G218" s="2">
        <v>2503</v>
      </c>
      <c r="H218" s="2">
        <v>1258867</v>
      </c>
      <c r="I218" s="2">
        <v>60861</v>
      </c>
      <c r="J218" s="13">
        <v>15</v>
      </c>
      <c r="K218" s="2">
        <v>20</v>
      </c>
      <c r="L218" s="2"/>
    </row>
    <row r="219" spans="1:12">
      <c r="A219" s="1" t="s">
        <v>867</v>
      </c>
      <c r="B219" s="2" t="s">
        <v>46</v>
      </c>
      <c r="C219" s="2">
        <v>920</v>
      </c>
      <c r="D219" s="2">
        <v>1648677</v>
      </c>
      <c r="E219" s="2">
        <v>4588</v>
      </c>
      <c r="F219" s="2">
        <v>368952</v>
      </c>
      <c r="G219" s="2">
        <v>2175</v>
      </c>
      <c r="H219" s="2">
        <v>338257</v>
      </c>
      <c r="I219" s="2">
        <v>25740</v>
      </c>
      <c r="J219" s="13">
        <v>18</v>
      </c>
      <c r="K219" s="2">
        <v>20</v>
      </c>
      <c r="L219" s="2"/>
    </row>
    <row r="220" spans="1:12">
      <c r="A220" s="1" t="s">
        <v>868</v>
      </c>
      <c r="B220" s="2" t="s">
        <v>46</v>
      </c>
      <c r="C220" s="2">
        <v>920</v>
      </c>
      <c r="D220" s="2">
        <v>1886259</v>
      </c>
      <c r="E220" s="2">
        <v>4938</v>
      </c>
      <c r="F220" s="2">
        <v>352841</v>
      </c>
      <c r="G220" s="2">
        <v>2127</v>
      </c>
      <c r="H220" s="2">
        <v>382369</v>
      </c>
      <c r="I220" s="2">
        <v>51621</v>
      </c>
      <c r="J220" s="13">
        <v>14</v>
      </c>
      <c r="K220" s="2">
        <v>16</v>
      </c>
      <c r="L220" s="2"/>
    </row>
    <row r="221" spans="1:12">
      <c r="A221" s="1" t="s">
        <v>869</v>
      </c>
      <c r="B221" s="2" t="s">
        <v>46</v>
      </c>
      <c r="C221" s="2">
        <v>920</v>
      </c>
      <c r="D221" s="2">
        <v>1921608</v>
      </c>
      <c r="E221" s="2">
        <v>5002</v>
      </c>
      <c r="F221" s="2">
        <v>317091</v>
      </c>
      <c r="G221" s="2">
        <v>2012</v>
      </c>
      <c r="H221" s="2">
        <v>653803</v>
      </c>
      <c r="I221" s="2">
        <v>47178</v>
      </c>
      <c r="J221" s="13">
        <v>17</v>
      </c>
      <c r="K221" s="2">
        <v>17</v>
      </c>
      <c r="L221" s="2"/>
    </row>
    <row r="222" spans="1:12">
      <c r="A222" s="1" t="s">
        <v>428</v>
      </c>
      <c r="B222" s="2" t="s">
        <v>46</v>
      </c>
      <c r="C222" s="2">
        <v>920</v>
      </c>
      <c r="D222" s="2">
        <v>1446075</v>
      </c>
      <c r="E222" s="2">
        <v>4291</v>
      </c>
      <c r="F222" s="2">
        <v>331583</v>
      </c>
      <c r="G222" s="2">
        <v>2054</v>
      </c>
      <c r="H222" s="2">
        <v>222407</v>
      </c>
      <c r="I222" s="2">
        <v>21637</v>
      </c>
      <c r="J222" s="13">
        <v>16</v>
      </c>
      <c r="K222" s="43">
        <v>20.25</v>
      </c>
      <c r="L222" s="2"/>
    </row>
    <row r="223" spans="1:12">
      <c r="A223" s="1" t="s">
        <v>429</v>
      </c>
      <c r="B223" s="2" t="s">
        <v>46</v>
      </c>
      <c r="C223" s="2">
        <v>920</v>
      </c>
      <c r="D223" s="2">
        <v>1812528</v>
      </c>
      <c r="E223" s="2">
        <v>4802</v>
      </c>
      <c r="F223" s="2">
        <v>294113</v>
      </c>
      <c r="G223" s="2">
        <v>1932</v>
      </c>
      <c r="H223" s="2">
        <v>0</v>
      </c>
      <c r="I223" s="2">
        <v>46008</v>
      </c>
      <c r="J223" s="13">
        <v>13</v>
      </c>
      <c r="K223" s="43">
        <v>17.75</v>
      </c>
      <c r="L223" s="2"/>
    </row>
    <row r="224" spans="1:12">
      <c r="A224" s="1" t="s">
        <v>430</v>
      </c>
      <c r="B224" s="2" t="s">
        <v>46</v>
      </c>
      <c r="C224" s="2">
        <v>920</v>
      </c>
      <c r="D224" s="2">
        <v>2175495</v>
      </c>
      <c r="E224" s="2">
        <v>5262</v>
      </c>
      <c r="F224" s="2">
        <v>352262</v>
      </c>
      <c r="G224" s="2">
        <v>2114</v>
      </c>
      <c r="H224" s="2">
        <v>607699</v>
      </c>
      <c r="I224" s="2">
        <v>42165</v>
      </c>
      <c r="J224" s="13">
        <v>13</v>
      </c>
      <c r="K224" s="43">
        <v>17.5</v>
      </c>
      <c r="L224" s="2"/>
    </row>
    <row r="225" spans="1:12">
      <c r="A225" s="1" t="s">
        <v>870</v>
      </c>
      <c r="B225" s="2" t="s">
        <v>46</v>
      </c>
      <c r="C225" s="2">
        <v>920</v>
      </c>
      <c r="D225" s="2">
        <v>2718993</v>
      </c>
      <c r="E225" s="2">
        <v>5873</v>
      </c>
      <c r="F225" s="2">
        <v>683837</v>
      </c>
      <c r="G225" s="2">
        <v>2951</v>
      </c>
      <c r="H225" s="2">
        <v>790849</v>
      </c>
      <c r="I225" s="2">
        <v>45275</v>
      </c>
      <c r="J225" s="13">
        <v>22</v>
      </c>
      <c r="K225" s="2">
        <v>23</v>
      </c>
      <c r="L225" s="2"/>
    </row>
    <row r="226" spans="1:12">
      <c r="A226" s="1" t="s">
        <v>871</v>
      </c>
      <c r="B226" s="2" t="s">
        <v>310</v>
      </c>
      <c r="C226" s="2">
        <v>500</v>
      </c>
      <c r="D226" s="2">
        <v>885888</v>
      </c>
      <c r="E226" s="2">
        <v>3376</v>
      </c>
      <c r="F226" s="2">
        <v>127014</v>
      </c>
      <c r="G226" s="2">
        <v>1272</v>
      </c>
      <c r="H226" s="2">
        <v>102454</v>
      </c>
      <c r="I226" s="2">
        <v>20181</v>
      </c>
      <c r="J226" s="13">
        <v>19</v>
      </c>
      <c r="K226" s="2">
        <v>22</v>
      </c>
      <c r="L226" s="2"/>
    </row>
    <row r="227" spans="1:12">
      <c r="A227" s="1" t="s">
        <v>872</v>
      </c>
      <c r="B227" s="2" t="s">
        <v>310</v>
      </c>
      <c r="C227" s="2">
        <v>500</v>
      </c>
      <c r="D227" s="2">
        <v>879320</v>
      </c>
      <c r="E227" s="2">
        <v>3348</v>
      </c>
      <c r="F227" s="2">
        <v>147511</v>
      </c>
      <c r="G227" s="2">
        <v>1374</v>
      </c>
      <c r="H227" s="2">
        <v>334188</v>
      </c>
      <c r="I227" s="2">
        <v>15873</v>
      </c>
      <c r="J227" s="13">
        <v>20</v>
      </c>
      <c r="K227" s="2">
        <v>20</v>
      </c>
      <c r="L227" s="2"/>
    </row>
    <row r="228" spans="1:12">
      <c r="A228" s="1" t="s">
        <v>1166</v>
      </c>
      <c r="B228" s="2" t="s">
        <v>46</v>
      </c>
      <c r="C228" s="2">
        <v>920</v>
      </c>
      <c r="D228" s="2">
        <v>3219639</v>
      </c>
      <c r="E228" s="2">
        <v>6420</v>
      </c>
      <c r="F228" s="2">
        <v>685558</v>
      </c>
      <c r="G228" s="2">
        <v>2950</v>
      </c>
      <c r="H228" s="2">
        <v>991567</v>
      </c>
      <c r="I228" s="2">
        <v>34880</v>
      </c>
      <c r="J228" s="13">
        <v>19</v>
      </c>
      <c r="K228" s="2">
        <v>24</v>
      </c>
      <c r="L228" s="2"/>
    </row>
    <row r="229" spans="1:12">
      <c r="A229" s="1" t="s">
        <v>1167</v>
      </c>
      <c r="B229" s="2" t="s">
        <v>46</v>
      </c>
      <c r="C229" s="2">
        <v>920</v>
      </c>
      <c r="D229" s="2">
        <v>2445555</v>
      </c>
      <c r="E229" s="2">
        <v>5925</v>
      </c>
      <c r="F229" s="2">
        <v>360124</v>
      </c>
      <c r="G229" s="2">
        <v>2167</v>
      </c>
      <c r="H229" s="2">
        <v>321103</v>
      </c>
      <c r="I229" s="2" t="s">
        <v>287</v>
      </c>
      <c r="J229" s="13">
        <v>11</v>
      </c>
      <c r="K229" s="2">
        <v>19</v>
      </c>
      <c r="L229" s="2"/>
    </row>
    <row r="230" spans="1:12">
      <c r="A230" s="1" t="s">
        <v>1168</v>
      </c>
      <c r="B230" s="2" t="s">
        <v>46</v>
      </c>
      <c r="C230" s="2">
        <v>920</v>
      </c>
      <c r="D230" s="2">
        <v>2709081</v>
      </c>
      <c r="E230" s="2">
        <v>6054</v>
      </c>
      <c r="F230" s="2">
        <v>526705</v>
      </c>
      <c r="G230" s="2">
        <v>2637</v>
      </c>
      <c r="H230" s="2">
        <v>940068</v>
      </c>
      <c r="I230" s="2">
        <v>35952</v>
      </c>
      <c r="J230" s="13">
        <v>17</v>
      </c>
      <c r="K230" s="2">
        <v>20</v>
      </c>
      <c r="L230" s="2"/>
    </row>
    <row r="231" spans="1:12">
      <c r="A231" s="1" t="s">
        <v>1169</v>
      </c>
      <c r="B231" s="2" t="s">
        <v>46</v>
      </c>
      <c r="C231" s="2">
        <v>920</v>
      </c>
      <c r="D231" s="2">
        <v>3139608</v>
      </c>
      <c r="E231" s="2">
        <v>6317</v>
      </c>
      <c r="F231" s="2">
        <v>668068</v>
      </c>
      <c r="G231" s="2">
        <v>2924</v>
      </c>
      <c r="H231" s="2">
        <v>1117247</v>
      </c>
      <c r="I231" s="2">
        <v>37893</v>
      </c>
      <c r="J231" s="13">
        <v>21</v>
      </c>
      <c r="K231" s="2">
        <v>24</v>
      </c>
      <c r="L231" s="2"/>
    </row>
    <row r="232" spans="1:12">
      <c r="A232" s="1" t="s">
        <v>1170</v>
      </c>
      <c r="B232" s="2" t="s">
        <v>46</v>
      </c>
      <c r="C232" s="2">
        <v>920</v>
      </c>
      <c r="D232" s="2">
        <v>2749182</v>
      </c>
      <c r="E232" s="2">
        <v>6041</v>
      </c>
      <c r="F232" s="2">
        <v>440712</v>
      </c>
      <c r="G232" s="2">
        <v>2392</v>
      </c>
      <c r="H232" s="2">
        <v>1125905</v>
      </c>
      <c r="I232" s="2">
        <v>39247</v>
      </c>
      <c r="J232" s="13">
        <v>18</v>
      </c>
      <c r="K232" s="2">
        <v>21</v>
      </c>
      <c r="L232" s="2"/>
    </row>
    <row r="233" spans="1:12">
      <c r="A233" s="1" t="s">
        <v>1171</v>
      </c>
      <c r="B233" s="2" t="s">
        <v>46</v>
      </c>
      <c r="C233" s="2">
        <v>920</v>
      </c>
      <c r="D233" s="2">
        <v>2628507</v>
      </c>
      <c r="E233" s="2">
        <v>5787</v>
      </c>
      <c r="F233" s="2">
        <v>485126</v>
      </c>
      <c r="G233" s="2">
        <v>2493</v>
      </c>
      <c r="H233" s="2">
        <v>1073402</v>
      </c>
      <c r="I233" s="2">
        <v>41704</v>
      </c>
      <c r="J233" s="13">
        <v>19</v>
      </c>
      <c r="K233" s="2">
        <v>22</v>
      </c>
      <c r="L233" s="2"/>
    </row>
    <row r="234" spans="1:12">
      <c r="A234" s="1" t="s">
        <v>431</v>
      </c>
      <c r="B234" s="2" t="s">
        <v>46</v>
      </c>
      <c r="C234" s="2">
        <v>920</v>
      </c>
      <c r="D234" s="2">
        <v>2849253</v>
      </c>
      <c r="E234" s="2">
        <v>6038</v>
      </c>
      <c r="F234" s="2">
        <v>533577</v>
      </c>
      <c r="G234" s="2">
        <v>2617</v>
      </c>
      <c r="H234" s="2">
        <v>1281332</v>
      </c>
      <c r="I234" s="2">
        <v>45369</v>
      </c>
      <c r="J234" s="13">
        <v>17</v>
      </c>
      <c r="K234" s="43">
        <v>18</v>
      </c>
      <c r="L234" s="2"/>
    </row>
    <row r="235" spans="1:12">
      <c r="A235" s="1" t="s">
        <v>432</v>
      </c>
      <c r="B235" s="2" t="s">
        <v>46</v>
      </c>
      <c r="C235" s="2">
        <v>920</v>
      </c>
      <c r="D235" s="2">
        <v>2933010</v>
      </c>
      <c r="E235" s="2">
        <v>6222</v>
      </c>
      <c r="F235" s="2">
        <v>430411</v>
      </c>
      <c r="G235" s="2">
        <v>2352</v>
      </c>
      <c r="H235" s="2">
        <v>1048188</v>
      </c>
      <c r="I235" s="2">
        <v>42112</v>
      </c>
      <c r="J235" s="13">
        <v>15</v>
      </c>
      <c r="K235" s="43">
        <v>20.25</v>
      </c>
      <c r="L235" s="2"/>
    </row>
    <row r="236" spans="1:12">
      <c r="A236" s="1" t="s">
        <v>433</v>
      </c>
      <c r="B236" s="2" t="s">
        <v>46</v>
      </c>
      <c r="C236" s="2">
        <v>920</v>
      </c>
      <c r="D236" s="2">
        <v>2897073</v>
      </c>
      <c r="E236" s="2">
        <v>6102</v>
      </c>
      <c r="F236" s="2">
        <v>493053</v>
      </c>
      <c r="G236" s="2">
        <v>2517</v>
      </c>
      <c r="H236" s="2">
        <v>1287597</v>
      </c>
      <c r="I236" s="2">
        <v>48706</v>
      </c>
      <c r="J236" s="13">
        <v>16</v>
      </c>
      <c r="K236" s="43">
        <v>19.667000000000002</v>
      </c>
      <c r="L236" s="2"/>
    </row>
    <row r="237" spans="1:12">
      <c r="A237" s="1" t="s">
        <v>434</v>
      </c>
      <c r="B237" s="2" t="s">
        <v>46</v>
      </c>
      <c r="C237" s="2">
        <v>920</v>
      </c>
      <c r="D237" s="2">
        <v>3528897</v>
      </c>
      <c r="E237" s="2">
        <v>6690</v>
      </c>
      <c r="F237" s="2">
        <v>871198</v>
      </c>
      <c r="G237" s="2">
        <v>3347</v>
      </c>
      <c r="H237" s="2">
        <v>1271998</v>
      </c>
      <c r="I237" s="2">
        <v>40663</v>
      </c>
      <c r="J237" s="13">
        <v>23</v>
      </c>
      <c r="K237" s="43">
        <v>23.332999999999998</v>
      </c>
      <c r="L237" s="2"/>
    </row>
    <row r="238" spans="1:12">
      <c r="A238" s="1" t="s">
        <v>435</v>
      </c>
      <c r="B238" s="2" t="s">
        <v>46</v>
      </c>
      <c r="C238" s="2">
        <v>920</v>
      </c>
      <c r="D238" s="2">
        <v>1998243</v>
      </c>
      <c r="E238" s="2">
        <v>5226</v>
      </c>
      <c r="F238" s="2">
        <v>242930</v>
      </c>
      <c r="G238" s="2">
        <v>1769</v>
      </c>
      <c r="H238" s="2">
        <v>513917</v>
      </c>
      <c r="I238" s="2">
        <v>19103</v>
      </c>
      <c r="J238" s="13">
        <v>12</v>
      </c>
      <c r="K238" s="43">
        <v>21.75</v>
      </c>
      <c r="L238" s="2"/>
    </row>
    <row r="239" spans="1:12">
      <c r="A239" s="1" t="s">
        <v>436</v>
      </c>
      <c r="B239" s="2" t="s">
        <v>46</v>
      </c>
      <c r="C239" s="2">
        <v>920</v>
      </c>
      <c r="D239" s="2">
        <v>2211075</v>
      </c>
      <c r="E239" s="2">
        <v>5324</v>
      </c>
      <c r="F239" s="2">
        <v>466171</v>
      </c>
      <c r="G239" s="2">
        <v>2440</v>
      </c>
      <c r="H239" s="2">
        <v>842945</v>
      </c>
      <c r="I239" s="2">
        <v>46524</v>
      </c>
      <c r="J239" s="13">
        <v>18</v>
      </c>
      <c r="K239" s="43">
        <v>18.667000000000002</v>
      </c>
      <c r="L239" s="2"/>
    </row>
    <row r="240" spans="1:12">
      <c r="A240" s="1" t="s">
        <v>1172</v>
      </c>
      <c r="B240" s="2" t="s">
        <v>46</v>
      </c>
      <c r="C240" s="2">
        <v>920</v>
      </c>
      <c r="D240" s="2">
        <v>3574401</v>
      </c>
      <c r="E240" s="2">
        <v>6733</v>
      </c>
      <c r="F240" s="2">
        <v>746977</v>
      </c>
      <c r="G240" s="2">
        <v>3086</v>
      </c>
      <c r="H240" s="2">
        <v>1119031</v>
      </c>
      <c r="I240" s="2">
        <v>36086</v>
      </c>
      <c r="J240" s="13">
        <v>21</v>
      </c>
      <c r="K240" s="2">
        <v>23</v>
      </c>
      <c r="L240" s="2"/>
    </row>
    <row r="241" spans="1:12">
      <c r="A241" s="1" t="s">
        <v>1173</v>
      </c>
      <c r="B241" s="2" t="s">
        <v>46</v>
      </c>
      <c r="C241" s="2">
        <v>920</v>
      </c>
      <c r="D241" s="2">
        <v>2884287</v>
      </c>
      <c r="E241" s="2">
        <v>6047</v>
      </c>
      <c r="F241" s="2">
        <v>537147</v>
      </c>
      <c r="G241" s="2">
        <v>2615</v>
      </c>
      <c r="H241" s="2">
        <v>3519</v>
      </c>
      <c r="I241" s="2">
        <v>27107</v>
      </c>
      <c r="J241" s="13">
        <v>16</v>
      </c>
      <c r="K241" s="2">
        <v>22</v>
      </c>
      <c r="L241" s="2"/>
    </row>
    <row r="242" spans="1:12">
      <c r="A242" s="1" t="s">
        <v>1174</v>
      </c>
      <c r="B242" s="2" t="s">
        <v>46</v>
      </c>
      <c r="C242" s="2">
        <v>920</v>
      </c>
      <c r="D242" s="2">
        <v>2837361</v>
      </c>
      <c r="E242" s="2">
        <v>6029</v>
      </c>
      <c r="F242" s="2">
        <v>555181</v>
      </c>
      <c r="G242" s="2">
        <v>2660</v>
      </c>
      <c r="H242" s="2">
        <v>520568</v>
      </c>
      <c r="I242" s="2">
        <v>30572</v>
      </c>
      <c r="J242" s="13">
        <v>18</v>
      </c>
      <c r="K242" s="2">
        <v>23</v>
      </c>
      <c r="L242" s="2"/>
    </row>
    <row r="243" spans="1:12">
      <c r="A243" s="1" t="s">
        <v>1175</v>
      </c>
      <c r="B243" s="2" t="s">
        <v>46</v>
      </c>
      <c r="C243" s="2">
        <v>920</v>
      </c>
      <c r="D243" s="2">
        <v>3363054</v>
      </c>
      <c r="E243" s="2">
        <v>6592</v>
      </c>
      <c r="F243" s="2">
        <v>609858</v>
      </c>
      <c r="G243" s="2">
        <v>2787</v>
      </c>
      <c r="H243" s="2">
        <v>1349547</v>
      </c>
      <c r="I243" s="2">
        <v>45162</v>
      </c>
      <c r="J243" s="13">
        <v>20</v>
      </c>
      <c r="K243" s="2">
        <v>22</v>
      </c>
      <c r="L243" s="2"/>
    </row>
    <row r="244" spans="1:12">
      <c r="A244" s="1" t="s">
        <v>1176</v>
      </c>
      <c r="B244" s="2" t="s">
        <v>46</v>
      </c>
      <c r="C244" s="2">
        <v>920</v>
      </c>
      <c r="D244" s="2">
        <v>2482044</v>
      </c>
      <c r="E244" s="2">
        <v>5807</v>
      </c>
      <c r="F244" s="2">
        <v>384394</v>
      </c>
      <c r="G244" s="2">
        <v>2221</v>
      </c>
      <c r="H244" s="2">
        <v>823433</v>
      </c>
      <c r="I244" s="2">
        <v>29753</v>
      </c>
      <c r="J244" s="13">
        <v>15</v>
      </c>
      <c r="K244" s="2">
        <v>21</v>
      </c>
      <c r="L244" s="2"/>
    </row>
    <row r="245" spans="1:12">
      <c r="A245" s="1" t="s">
        <v>1177</v>
      </c>
      <c r="B245" s="2" t="s">
        <v>46</v>
      </c>
      <c r="C245" s="2">
        <v>920</v>
      </c>
      <c r="D245" s="2">
        <v>2679096</v>
      </c>
      <c r="E245" s="2">
        <v>6167</v>
      </c>
      <c r="F245" s="2">
        <v>506678</v>
      </c>
      <c r="G245" s="2">
        <v>2571</v>
      </c>
      <c r="H245" s="2">
        <v>1074700</v>
      </c>
      <c r="I245" s="2">
        <v>33545</v>
      </c>
      <c r="J245" s="13">
        <v>17</v>
      </c>
      <c r="K245" s="2">
        <v>20</v>
      </c>
      <c r="L245" s="2"/>
    </row>
    <row r="246" spans="1:12">
      <c r="A246" s="1" t="s">
        <v>470</v>
      </c>
      <c r="B246" s="2" t="s">
        <v>310</v>
      </c>
      <c r="C246" s="2">
        <v>500</v>
      </c>
      <c r="D246" s="2">
        <v>1117303</v>
      </c>
      <c r="E246" s="2">
        <v>3767</v>
      </c>
      <c r="F246" s="2">
        <v>249400</v>
      </c>
      <c r="G246" s="2">
        <v>1779</v>
      </c>
      <c r="H246" s="2">
        <v>413143</v>
      </c>
      <c r="I246" s="2">
        <v>9558</v>
      </c>
      <c r="J246" s="13">
        <v>24</v>
      </c>
      <c r="K246" s="43">
        <v>25</v>
      </c>
      <c r="L246" s="2"/>
    </row>
    <row r="247" spans="1:12">
      <c r="A247" s="1" t="s">
        <v>437</v>
      </c>
      <c r="B247" s="2" t="s">
        <v>46</v>
      </c>
      <c r="C247" s="2">
        <v>920</v>
      </c>
      <c r="D247" s="2">
        <v>2762652</v>
      </c>
      <c r="E247" s="2">
        <v>5987</v>
      </c>
      <c r="F247" s="2">
        <v>458456</v>
      </c>
      <c r="G247" s="2">
        <v>2416</v>
      </c>
      <c r="H247" s="2">
        <v>888106</v>
      </c>
      <c r="I247" s="2">
        <v>34681</v>
      </c>
      <c r="J247" s="13">
        <v>17</v>
      </c>
      <c r="K247" s="43">
        <v>24</v>
      </c>
      <c r="L247" s="2"/>
    </row>
    <row r="248" spans="1:12">
      <c r="A248" s="1" t="s">
        <v>438</v>
      </c>
      <c r="B248" s="2" t="s">
        <v>46</v>
      </c>
      <c r="C248" s="2">
        <v>920</v>
      </c>
      <c r="D248" s="2">
        <v>3248760</v>
      </c>
      <c r="E248" s="2">
        <v>6425</v>
      </c>
      <c r="F248" s="2">
        <v>576959</v>
      </c>
      <c r="G248" s="2">
        <v>2708</v>
      </c>
      <c r="H248" s="2">
        <v>957565</v>
      </c>
      <c r="I248" s="2">
        <v>38165</v>
      </c>
      <c r="J248" s="13">
        <v>22</v>
      </c>
      <c r="K248" s="43">
        <v>22.75</v>
      </c>
      <c r="L248" s="2"/>
    </row>
    <row r="249" spans="1:12">
      <c r="A249" s="1" t="s">
        <v>595</v>
      </c>
      <c r="B249" s="2" t="s">
        <v>46</v>
      </c>
      <c r="C249" s="2">
        <v>920</v>
      </c>
      <c r="D249" s="2">
        <v>937450</v>
      </c>
      <c r="E249" s="2">
        <v>3457.8870000000002</v>
      </c>
      <c r="F249" s="2">
        <v>234071</v>
      </c>
      <c r="G249" s="2">
        <v>1729.095</v>
      </c>
      <c r="H249" s="2">
        <v>290682</v>
      </c>
      <c r="I249" s="2">
        <v>8120</v>
      </c>
      <c r="J249" s="13">
        <v>24</v>
      </c>
      <c r="K249" s="43">
        <v>23</v>
      </c>
      <c r="L249" s="2"/>
    </row>
    <row r="250" spans="1:12">
      <c r="A250" s="1" t="s">
        <v>596</v>
      </c>
      <c r="B250" s="2" t="s">
        <v>46</v>
      </c>
      <c r="C250" s="2">
        <v>920</v>
      </c>
      <c r="D250" s="2">
        <v>2673726</v>
      </c>
      <c r="E250" s="2">
        <v>6048.9219999999996</v>
      </c>
      <c r="F250" s="2">
        <v>436025</v>
      </c>
      <c r="G250" s="2">
        <v>2390.1129999999998</v>
      </c>
      <c r="H250" s="2">
        <v>453809</v>
      </c>
      <c r="I250" s="2">
        <v>26973</v>
      </c>
      <c r="J250" s="13">
        <v>18</v>
      </c>
      <c r="K250" s="43">
        <v>21</v>
      </c>
      <c r="L250" s="2"/>
    </row>
    <row r="251" spans="1:12">
      <c r="A251" s="1" t="s">
        <v>597</v>
      </c>
      <c r="B251" s="2" t="s">
        <v>46</v>
      </c>
      <c r="C251" s="2">
        <v>920</v>
      </c>
      <c r="D251" s="2">
        <v>3041634</v>
      </c>
      <c r="E251" s="2">
        <v>6214.0420000000004</v>
      </c>
      <c r="F251" s="2">
        <v>615591</v>
      </c>
      <c r="G251" s="2">
        <v>2803.096</v>
      </c>
      <c r="H251" s="2">
        <v>1151078</v>
      </c>
      <c r="I251" s="2">
        <v>30622</v>
      </c>
      <c r="J251" s="13">
        <v>19</v>
      </c>
      <c r="K251" s="43">
        <v>21</v>
      </c>
      <c r="L251" s="2"/>
    </row>
    <row r="252" spans="1:12">
      <c r="A252" s="1" t="s">
        <v>439</v>
      </c>
      <c r="B252" s="2" t="s">
        <v>310</v>
      </c>
      <c r="C252" s="2">
        <v>500</v>
      </c>
      <c r="D252" s="2">
        <v>1004760</v>
      </c>
      <c r="E252" s="2">
        <v>3586</v>
      </c>
      <c r="F252" s="2">
        <v>192302</v>
      </c>
      <c r="G252" s="2">
        <v>1580</v>
      </c>
      <c r="H252" s="2">
        <v>139788</v>
      </c>
      <c r="I252" s="2">
        <v>9152</v>
      </c>
      <c r="J252" s="13">
        <v>21</v>
      </c>
      <c r="K252" s="43">
        <v>23.25</v>
      </c>
      <c r="L252" s="2"/>
    </row>
    <row r="253" spans="1:12">
      <c r="A253" s="1" t="s">
        <v>440</v>
      </c>
      <c r="B253" s="2" t="s">
        <v>46</v>
      </c>
      <c r="C253" s="2">
        <v>920</v>
      </c>
      <c r="D253" s="2">
        <v>3996582</v>
      </c>
      <c r="E253" s="2">
        <v>7277</v>
      </c>
      <c r="F253" s="2">
        <v>538892</v>
      </c>
      <c r="G253" s="2">
        <v>2640</v>
      </c>
      <c r="H253" s="2">
        <v>1663906</v>
      </c>
      <c r="I253" s="2">
        <v>56921</v>
      </c>
      <c r="J253" s="13">
        <v>17</v>
      </c>
      <c r="K253" s="43">
        <v>22.667000000000002</v>
      </c>
      <c r="L253" s="2"/>
    </row>
    <row r="254" spans="1:12">
      <c r="A254" s="1" t="s">
        <v>441</v>
      </c>
      <c r="B254" s="2" t="s">
        <v>310</v>
      </c>
      <c r="C254" s="2">
        <v>500</v>
      </c>
      <c r="D254" s="2">
        <v>1073483</v>
      </c>
      <c r="E254" s="2">
        <v>3695</v>
      </c>
      <c r="F254" s="2">
        <v>166176</v>
      </c>
      <c r="G254" s="2">
        <v>1464</v>
      </c>
      <c r="H254" s="2">
        <v>389564</v>
      </c>
      <c r="I254" s="2">
        <v>15142</v>
      </c>
      <c r="J254" s="13">
        <v>18</v>
      </c>
      <c r="K254" s="43">
        <v>22</v>
      </c>
      <c r="L254" s="2"/>
    </row>
    <row r="255" spans="1:12">
      <c r="A255" s="1" t="s">
        <v>471</v>
      </c>
      <c r="B255" s="2" t="s">
        <v>310</v>
      </c>
      <c r="C255" s="2">
        <v>500</v>
      </c>
      <c r="D255" s="2">
        <v>981180</v>
      </c>
      <c r="E255" s="2">
        <v>3539</v>
      </c>
      <c r="F255" s="2">
        <v>192707</v>
      </c>
      <c r="G255" s="2">
        <v>1573</v>
      </c>
      <c r="H255" s="2">
        <v>380793</v>
      </c>
      <c r="I255" s="2">
        <v>9863</v>
      </c>
      <c r="J255" s="13">
        <v>23</v>
      </c>
      <c r="K255" s="43">
        <v>26</v>
      </c>
      <c r="L255" s="2"/>
    </row>
    <row r="256" spans="1:12">
      <c r="A256" s="1" t="s">
        <v>442</v>
      </c>
      <c r="B256" s="2" t="s">
        <v>46</v>
      </c>
      <c r="C256" s="2">
        <v>920</v>
      </c>
      <c r="D256" s="2">
        <v>2098443</v>
      </c>
      <c r="E256" s="2">
        <v>5517</v>
      </c>
      <c r="F256" s="2">
        <v>434098</v>
      </c>
      <c r="G256" s="2">
        <v>2363</v>
      </c>
      <c r="H256" s="2">
        <v>585381</v>
      </c>
      <c r="I256" s="2">
        <v>30861</v>
      </c>
      <c r="J256" s="13">
        <v>14</v>
      </c>
      <c r="K256" s="43">
        <v>19.75</v>
      </c>
      <c r="L256" s="2"/>
    </row>
    <row r="257" spans="1:12">
      <c r="A257" s="1" t="s">
        <v>443</v>
      </c>
      <c r="B257" s="2" t="s">
        <v>46</v>
      </c>
      <c r="C257" s="2">
        <v>920</v>
      </c>
      <c r="D257" s="2">
        <v>2479035</v>
      </c>
      <c r="E257" s="2">
        <v>5710</v>
      </c>
      <c r="F257" s="2">
        <v>512774</v>
      </c>
      <c r="G257" s="2">
        <v>2553</v>
      </c>
      <c r="H257" s="2">
        <v>744093</v>
      </c>
      <c r="I257" s="2">
        <v>38687</v>
      </c>
      <c r="J257" s="13">
        <v>20</v>
      </c>
      <c r="K257" s="43">
        <v>22.332999999999998</v>
      </c>
      <c r="L257" s="2"/>
    </row>
    <row r="258" spans="1:12">
      <c r="A258" s="1" t="s">
        <v>598</v>
      </c>
      <c r="B258" s="2" t="s">
        <v>310</v>
      </c>
      <c r="C258" s="2">
        <v>500</v>
      </c>
      <c r="D258" s="2">
        <v>1099431</v>
      </c>
      <c r="E258" s="2">
        <v>3741.8130000000001</v>
      </c>
      <c r="F258" s="2">
        <v>247840</v>
      </c>
      <c r="G258" s="2">
        <v>1777.895</v>
      </c>
      <c r="H258" s="2">
        <v>316843</v>
      </c>
      <c r="I258" s="2">
        <v>10721</v>
      </c>
      <c r="J258" s="13">
        <v>26</v>
      </c>
      <c r="K258" s="43">
        <v>24</v>
      </c>
      <c r="L258" s="2"/>
    </row>
    <row r="259" spans="1:12">
      <c r="A259" s="1" t="s">
        <v>599</v>
      </c>
      <c r="B259" s="2" t="s">
        <v>46</v>
      </c>
      <c r="C259" s="2">
        <v>920</v>
      </c>
      <c r="D259" s="2">
        <v>2970948</v>
      </c>
      <c r="E259" s="2">
        <v>6197.0910000000003</v>
      </c>
      <c r="F259" s="2">
        <v>363722</v>
      </c>
      <c r="G259" s="2">
        <v>2155.64</v>
      </c>
      <c r="H259" s="2">
        <v>48965</v>
      </c>
      <c r="I259" s="2">
        <v>26437</v>
      </c>
      <c r="J259" s="13">
        <v>17</v>
      </c>
      <c r="K259" s="43">
        <v>24</v>
      </c>
      <c r="L259" s="2"/>
    </row>
    <row r="260" spans="1:12">
      <c r="A260" s="1" t="s">
        <v>600</v>
      </c>
      <c r="B260" s="2" t="s">
        <v>46</v>
      </c>
      <c r="C260" s="2">
        <v>920</v>
      </c>
      <c r="D260" s="2">
        <v>3323490</v>
      </c>
      <c r="E260" s="2">
        <v>6496.3549999999996</v>
      </c>
      <c r="F260" s="2">
        <v>694437</v>
      </c>
      <c r="G260" s="2">
        <v>2974.85</v>
      </c>
      <c r="H260" s="2">
        <v>1112413</v>
      </c>
      <c r="I260" s="2">
        <v>46607</v>
      </c>
      <c r="J260" s="13">
        <v>23</v>
      </c>
      <c r="K260" s="43">
        <v>24</v>
      </c>
      <c r="L260" s="2"/>
    </row>
    <row r="261" spans="1:12">
      <c r="A261" s="1" t="s">
        <v>873</v>
      </c>
      <c r="B261" s="2" t="s">
        <v>46</v>
      </c>
      <c r="C261" s="2">
        <v>920</v>
      </c>
      <c r="D261" s="2">
        <v>2489289</v>
      </c>
      <c r="E261" s="2">
        <v>5655</v>
      </c>
      <c r="F261" s="2">
        <v>361629</v>
      </c>
      <c r="G261" s="2">
        <v>2145</v>
      </c>
      <c r="H261" s="2">
        <v>1074516</v>
      </c>
      <c r="I261" s="2">
        <v>42487</v>
      </c>
      <c r="J261" s="13">
        <v>14</v>
      </c>
      <c r="K261" s="2">
        <v>20</v>
      </c>
      <c r="L261" s="2"/>
    </row>
    <row r="262" spans="1:12">
      <c r="A262" s="1" t="s">
        <v>874</v>
      </c>
      <c r="B262" s="2" t="s">
        <v>46</v>
      </c>
      <c r="C262" s="2">
        <v>920</v>
      </c>
      <c r="D262" s="2">
        <v>2594016</v>
      </c>
      <c r="E262" s="2">
        <v>5897</v>
      </c>
      <c r="F262" s="2">
        <v>345580</v>
      </c>
      <c r="G262" s="2">
        <v>2120</v>
      </c>
      <c r="H262" s="2">
        <v>1043352</v>
      </c>
      <c r="I262" s="2">
        <v>37307</v>
      </c>
      <c r="J262" s="13">
        <v>14</v>
      </c>
      <c r="K262" s="2">
        <v>20</v>
      </c>
      <c r="L262" s="2"/>
    </row>
    <row r="263" spans="1:12">
      <c r="A263" s="1" t="s">
        <v>875</v>
      </c>
      <c r="B263" s="2" t="s">
        <v>46</v>
      </c>
      <c r="C263" s="2">
        <v>920</v>
      </c>
      <c r="D263" s="2">
        <v>2782401</v>
      </c>
      <c r="E263" s="2">
        <v>5983</v>
      </c>
      <c r="F263" s="2">
        <v>504039</v>
      </c>
      <c r="G263" s="2">
        <v>2533</v>
      </c>
      <c r="H263" s="2">
        <v>1051062</v>
      </c>
      <c r="I263" s="2">
        <v>46489</v>
      </c>
      <c r="J263" s="13">
        <v>17</v>
      </c>
      <c r="K263" s="2">
        <v>21</v>
      </c>
      <c r="L263" s="2"/>
    </row>
    <row r="264" spans="1:12">
      <c r="A264" s="1" t="s">
        <v>876</v>
      </c>
      <c r="B264" s="2" t="s">
        <v>46</v>
      </c>
      <c r="C264" s="2">
        <v>920</v>
      </c>
      <c r="D264" s="2">
        <v>2808213</v>
      </c>
      <c r="E264" s="2">
        <v>5986</v>
      </c>
      <c r="F264" s="2">
        <v>594043</v>
      </c>
      <c r="G264" s="2">
        <v>2783</v>
      </c>
      <c r="H264" s="2">
        <v>924422</v>
      </c>
      <c r="I264" s="2">
        <v>42820</v>
      </c>
      <c r="J264" s="13">
        <v>22</v>
      </c>
      <c r="K264" s="2">
        <v>22</v>
      </c>
      <c r="L264" s="2"/>
    </row>
    <row r="265" spans="1:12">
      <c r="A265" s="1" t="s">
        <v>877</v>
      </c>
      <c r="B265" s="2" t="s">
        <v>46</v>
      </c>
      <c r="C265" s="2">
        <v>920</v>
      </c>
      <c r="D265" s="2">
        <v>1286781</v>
      </c>
      <c r="E265" s="2">
        <v>4081</v>
      </c>
      <c r="F265" s="2">
        <v>126554</v>
      </c>
      <c r="G265" s="2">
        <v>1274</v>
      </c>
      <c r="H265" s="2">
        <v>0</v>
      </c>
      <c r="I265" s="2">
        <v>17217</v>
      </c>
      <c r="J265" s="13">
        <v>7</v>
      </c>
      <c r="K265" s="2">
        <v>16</v>
      </c>
      <c r="L265" s="2"/>
    </row>
    <row r="266" spans="1:12">
      <c r="A266" s="1" t="s">
        <v>878</v>
      </c>
      <c r="B266" s="2" t="s">
        <v>46</v>
      </c>
      <c r="C266" s="2">
        <v>920</v>
      </c>
      <c r="D266" s="2">
        <v>2221326</v>
      </c>
      <c r="E266" s="2">
        <v>5350</v>
      </c>
      <c r="F266" s="2">
        <v>318661</v>
      </c>
      <c r="G266" s="2">
        <v>2013</v>
      </c>
      <c r="H266" s="2">
        <v>935551</v>
      </c>
      <c r="I266" s="2">
        <v>36695</v>
      </c>
      <c r="J266" s="13">
        <v>13</v>
      </c>
      <c r="K266" s="2">
        <v>16</v>
      </c>
      <c r="L266" s="2"/>
    </row>
    <row r="267" spans="1:12">
      <c r="A267" s="1" t="s">
        <v>879</v>
      </c>
      <c r="B267" s="2" t="s">
        <v>46</v>
      </c>
      <c r="C267" s="2">
        <v>920</v>
      </c>
      <c r="D267" s="2">
        <v>2743770</v>
      </c>
      <c r="E267" s="2">
        <v>5909</v>
      </c>
      <c r="F267" s="2">
        <v>493065</v>
      </c>
      <c r="G267" s="2">
        <v>2506</v>
      </c>
      <c r="H267" s="2">
        <v>1138518</v>
      </c>
      <c r="I267" s="2">
        <v>32243</v>
      </c>
      <c r="J267" s="13">
        <v>15</v>
      </c>
      <c r="K267" s="2">
        <v>22</v>
      </c>
      <c r="L267" s="2"/>
    </row>
    <row r="268" spans="1:12">
      <c r="A268" s="1" t="s">
        <v>880</v>
      </c>
      <c r="B268" s="2" t="s">
        <v>46</v>
      </c>
      <c r="C268" s="2">
        <v>920</v>
      </c>
      <c r="D268" s="2">
        <v>1983693</v>
      </c>
      <c r="E268" s="2">
        <v>5053</v>
      </c>
      <c r="F268" s="2">
        <v>306297</v>
      </c>
      <c r="G268" s="2">
        <v>1974</v>
      </c>
      <c r="H268" s="2">
        <v>613585</v>
      </c>
      <c r="I268" s="2">
        <v>26334</v>
      </c>
      <c r="J268" s="13">
        <v>15</v>
      </c>
      <c r="K268" s="2">
        <v>19</v>
      </c>
      <c r="L268" s="2"/>
    </row>
    <row r="269" spans="1:12">
      <c r="A269" s="1" t="s">
        <v>881</v>
      </c>
      <c r="B269" s="2" t="s">
        <v>46</v>
      </c>
      <c r="C269" s="2">
        <v>920</v>
      </c>
      <c r="D269" s="2">
        <v>2899707</v>
      </c>
      <c r="E269" s="2">
        <v>6062</v>
      </c>
      <c r="F269" s="2">
        <v>399260</v>
      </c>
      <c r="G269" s="2">
        <v>2254</v>
      </c>
      <c r="H269" s="2">
        <v>734106</v>
      </c>
      <c r="I269" s="2">
        <v>38445</v>
      </c>
      <c r="J269" s="13">
        <v>15</v>
      </c>
      <c r="K269" s="2">
        <v>22</v>
      </c>
      <c r="L269" s="2"/>
    </row>
    <row r="270" spans="1:12">
      <c r="A270" s="1" t="s">
        <v>882</v>
      </c>
      <c r="B270" s="2" t="s">
        <v>46</v>
      </c>
      <c r="C270" s="2">
        <v>920</v>
      </c>
      <c r="D270" s="2">
        <v>3127350</v>
      </c>
      <c r="E270" s="2">
        <v>6316</v>
      </c>
      <c r="F270" s="2">
        <v>739796</v>
      </c>
      <c r="G270" s="2">
        <v>3083</v>
      </c>
      <c r="H270" s="2">
        <v>338583</v>
      </c>
      <c r="I270" s="2">
        <v>26772</v>
      </c>
      <c r="J270" s="13">
        <v>22</v>
      </c>
      <c r="K270" s="2">
        <v>25</v>
      </c>
      <c r="L270" s="2"/>
    </row>
    <row r="271" spans="1:12">
      <c r="A271" s="1" t="s">
        <v>883</v>
      </c>
      <c r="B271" s="2" t="s">
        <v>46</v>
      </c>
      <c r="C271" s="2">
        <v>920</v>
      </c>
      <c r="D271" s="2">
        <v>1728897</v>
      </c>
      <c r="E271" s="2">
        <v>4685</v>
      </c>
      <c r="F271" s="2">
        <v>264623</v>
      </c>
      <c r="G271" s="2">
        <v>1836</v>
      </c>
      <c r="H271" s="2">
        <v>425431</v>
      </c>
      <c r="I271" s="2">
        <v>26967</v>
      </c>
      <c r="J271" s="13">
        <v>13</v>
      </c>
      <c r="K271" s="2">
        <v>20</v>
      </c>
      <c r="L271" s="2"/>
    </row>
    <row r="272" spans="1:12">
      <c r="A272" s="1" t="s">
        <v>884</v>
      </c>
      <c r="B272" s="2" t="s">
        <v>46</v>
      </c>
      <c r="C272" s="2">
        <v>920</v>
      </c>
      <c r="D272" s="2">
        <v>2150082</v>
      </c>
      <c r="E272" s="2">
        <v>5280</v>
      </c>
      <c r="F272" s="2">
        <v>342425</v>
      </c>
      <c r="G272" s="2">
        <v>2094</v>
      </c>
      <c r="H272" s="2">
        <v>792404</v>
      </c>
      <c r="I272" s="2">
        <v>32517</v>
      </c>
      <c r="J272" s="13">
        <v>18</v>
      </c>
      <c r="K272" s="2">
        <v>20</v>
      </c>
      <c r="L272" s="2"/>
    </row>
    <row r="273" spans="1:12">
      <c r="A273" s="1" t="s">
        <v>885</v>
      </c>
      <c r="B273" s="2" t="s">
        <v>46</v>
      </c>
      <c r="C273" s="2">
        <v>920</v>
      </c>
      <c r="D273" s="2">
        <v>2026881</v>
      </c>
      <c r="E273" s="2">
        <v>5073</v>
      </c>
      <c r="F273" s="2">
        <v>389779</v>
      </c>
      <c r="G273" s="2">
        <v>2248</v>
      </c>
      <c r="H273" s="2">
        <v>585264</v>
      </c>
      <c r="I273" s="2">
        <v>24691</v>
      </c>
      <c r="J273" s="13">
        <v>15</v>
      </c>
      <c r="K273" s="2">
        <v>21</v>
      </c>
      <c r="L273" s="2"/>
    </row>
    <row r="274" spans="1:12">
      <c r="A274" s="1" t="s">
        <v>886</v>
      </c>
      <c r="B274" s="2" t="s">
        <v>46</v>
      </c>
      <c r="C274" s="2">
        <v>920</v>
      </c>
      <c r="D274" s="2">
        <v>1989198</v>
      </c>
      <c r="E274" s="2">
        <v>5046</v>
      </c>
      <c r="F274" s="2">
        <v>300611</v>
      </c>
      <c r="G274" s="2">
        <v>1965</v>
      </c>
      <c r="H274" s="2">
        <v>331878</v>
      </c>
      <c r="I274" s="2">
        <v>27732</v>
      </c>
      <c r="J274" s="13">
        <v>13</v>
      </c>
      <c r="K274" s="2">
        <v>18</v>
      </c>
      <c r="L274" s="2"/>
    </row>
    <row r="275" spans="1:12">
      <c r="A275" s="1" t="s">
        <v>887</v>
      </c>
      <c r="B275" s="2" t="s">
        <v>46</v>
      </c>
      <c r="C275" s="2">
        <v>920</v>
      </c>
      <c r="D275" s="2">
        <v>1938831</v>
      </c>
      <c r="E275" s="2">
        <v>4963</v>
      </c>
      <c r="F275" s="2">
        <v>325918</v>
      </c>
      <c r="G275" s="2">
        <v>2045</v>
      </c>
      <c r="H275" s="2">
        <v>695111</v>
      </c>
      <c r="I275" s="2">
        <v>29336</v>
      </c>
      <c r="J275" s="13">
        <v>14</v>
      </c>
      <c r="K275" s="2">
        <v>20</v>
      </c>
      <c r="L275" s="2"/>
    </row>
    <row r="276" spans="1:12">
      <c r="A276" s="1" t="s">
        <v>1178</v>
      </c>
      <c r="B276" s="2" t="s">
        <v>46</v>
      </c>
      <c r="C276" s="2">
        <v>920</v>
      </c>
      <c r="D276" s="2">
        <v>3226851</v>
      </c>
      <c r="E276" s="2">
        <v>6451</v>
      </c>
      <c r="F276" s="2">
        <v>677157</v>
      </c>
      <c r="G276" s="2">
        <v>2952</v>
      </c>
      <c r="H276" s="2">
        <v>1480278</v>
      </c>
      <c r="I276" s="2">
        <v>36191</v>
      </c>
      <c r="J276" s="13">
        <v>16</v>
      </c>
      <c r="K276" s="2">
        <v>22</v>
      </c>
      <c r="L276" s="2"/>
    </row>
    <row r="277" spans="1:12">
      <c r="A277" s="1" t="s">
        <v>1179</v>
      </c>
      <c r="B277" s="2" t="s">
        <v>46</v>
      </c>
      <c r="C277" s="2">
        <v>920</v>
      </c>
      <c r="D277" s="2">
        <v>2247690</v>
      </c>
      <c r="E277" s="2">
        <v>5443</v>
      </c>
      <c r="F277" s="2">
        <v>261850</v>
      </c>
      <c r="G277" s="2">
        <v>1847</v>
      </c>
      <c r="H277" s="2">
        <v>388194</v>
      </c>
      <c r="I277" s="2">
        <v>27886</v>
      </c>
      <c r="J277" s="13">
        <v>12</v>
      </c>
      <c r="K277" s="2">
        <v>19</v>
      </c>
      <c r="L277" s="2"/>
    </row>
    <row r="278" spans="1:12">
      <c r="A278" s="1" t="s">
        <v>1180</v>
      </c>
      <c r="B278" s="2" t="s">
        <v>46</v>
      </c>
      <c r="C278" s="2">
        <v>920</v>
      </c>
      <c r="D278" s="2">
        <v>2254050</v>
      </c>
      <c r="E278" s="2">
        <v>5381</v>
      </c>
      <c r="F278" s="2">
        <v>404549</v>
      </c>
      <c r="G278" s="2">
        <v>2280</v>
      </c>
      <c r="H278" s="2">
        <v>1034187</v>
      </c>
      <c r="I278" s="2">
        <v>36013</v>
      </c>
      <c r="J278" s="13">
        <v>14</v>
      </c>
      <c r="K278" s="2">
        <v>21</v>
      </c>
      <c r="L278" s="2"/>
    </row>
    <row r="279" spans="1:12">
      <c r="A279" s="1" t="s">
        <v>1181</v>
      </c>
      <c r="B279" s="2" t="s">
        <v>46</v>
      </c>
      <c r="C279" s="2">
        <v>920</v>
      </c>
      <c r="D279" s="2">
        <v>3391254</v>
      </c>
      <c r="E279" s="2">
        <v>6630</v>
      </c>
      <c r="F279" s="2">
        <v>693369</v>
      </c>
      <c r="G279" s="2">
        <v>2988</v>
      </c>
      <c r="H279" s="2">
        <v>1422128</v>
      </c>
      <c r="I279" s="2">
        <v>37286</v>
      </c>
      <c r="J279" s="13">
        <v>16</v>
      </c>
      <c r="K279" s="2">
        <v>21</v>
      </c>
      <c r="L279" s="2"/>
    </row>
    <row r="280" spans="1:12">
      <c r="A280" s="1" t="s">
        <v>1182</v>
      </c>
      <c r="B280" s="2" t="s">
        <v>46</v>
      </c>
      <c r="C280" s="2">
        <v>920</v>
      </c>
      <c r="D280" s="2">
        <v>2789391</v>
      </c>
      <c r="E280" s="2">
        <v>5958</v>
      </c>
      <c r="F280" s="2">
        <v>417115</v>
      </c>
      <c r="G280" s="2">
        <v>2312</v>
      </c>
      <c r="H280" s="2">
        <v>0</v>
      </c>
      <c r="I280" s="2">
        <v>58702</v>
      </c>
      <c r="J280" s="13">
        <v>12</v>
      </c>
      <c r="K280" s="2">
        <v>18</v>
      </c>
      <c r="L280" s="2"/>
    </row>
    <row r="281" spans="1:12">
      <c r="A281" s="1" t="s">
        <v>1183</v>
      </c>
      <c r="B281" s="2" t="s">
        <v>46</v>
      </c>
      <c r="C281" s="2">
        <v>920</v>
      </c>
      <c r="D281" s="2">
        <v>2244702</v>
      </c>
      <c r="E281" s="2">
        <v>5348</v>
      </c>
      <c r="F281" s="2">
        <v>382739</v>
      </c>
      <c r="G281" s="2">
        <v>2214</v>
      </c>
      <c r="H281" s="2">
        <v>922498</v>
      </c>
      <c r="I281" s="2">
        <v>45945</v>
      </c>
      <c r="J281" s="13">
        <v>13</v>
      </c>
      <c r="K281" s="2">
        <v>19</v>
      </c>
      <c r="L281" s="2"/>
    </row>
    <row r="282" spans="1:12">
      <c r="A282" s="1" t="s">
        <v>444</v>
      </c>
      <c r="B282" s="2" t="s">
        <v>46</v>
      </c>
      <c r="C282" s="2">
        <v>920</v>
      </c>
      <c r="D282" s="2">
        <v>1038909</v>
      </c>
      <c r="E282" s="2">
        <v>3644</v>
      </c>
      <c r="F282" s="2">
        <v>174251</v>
      </c>
      <c r="G282" s="2">
        <v>1495</v>
      </c>
      <c r="H282" s="2">
        <v>187576</v>
      </c>
      <c r="I282" s="2">
        <v>11446</v>
      </c>
      <c r="J282" s="13">
        <v>12</v>
      </c>
      <c r="K282" s="43">
        <v>14.75</v>
      </c>
      <c r="L282" s="2"/>
    </row>
    <row r="283" spans="1:12">
      <c r="A283" s="1" t="s">
        <v>445</v>
      </c>
      <c r="B283" s="2" t="s">
        <v>46</v>
      </c>
      <c r="C283" s="2">
        <v>920</v>
      </c>
      <c r="D283" s="2">
        <v>667410</v>
      </c>
      <c r="E283" s="2">
        <v>2922</v>
      </c>
      <c r="F283" s="2">
        <v>109162</v>
      </c>
      <c r="G283" s="2">
        <v>1182</v>
      </c>
      <c r="H283" s="2">
        <v>24663</v>
      </c>
      <c r="I283" s="2">
        <v>17552</v>
      </c>
      <c r="J283" s="13">
        <v>7</v>
      </c>
      <c r="K283" s="43">
        <v>11.75</v>
      </c>
      <c r="L283" s="2"/>
    </row>
    <row r="284" spans="1:12">
      <c r="A284" s="1" t="s">
        <v>446</v>
      </c>
      <c r="B284" s="2" t="s">
        <v>46</v>
      </c>
      <c r="C284" s="2">
        <v>920</v>
      </c>
      <c r="D284" s="2">
        <v>811422</v>
      </c>
      <c r="E284" s="2">
        <v>3230</v>
      </c>
      <c r="F284" s="2">
        <v>160539</v>
      </c>
      <c r="G284" s="2">
        <v>1433</v>
      </c>
      <c r="H284" s="2">
        <v>155832</v>
      </c>
      <c r="I284" s="3">
        <v>16290</v>
      </c>
      <c r="J284" s="13">
        <v>8</v>
      </c>
      <c r="K284" s="43">
        <v>14</v>
      </c>
      <c r="L284" s="2"/>
    </row>
    <row r="285" spans="1:12">
      <c r="A285" s="1" t="s">
        <v>601</v>
      </c>
      <c r="B285" s="2" t="s">
        <v>46</v>
      </c>
      <c r="C285" s="2">
        <v>920</v>
      </c>
      <c r="D285" s="2">
        <v>2457354</v>
      </c>
      <c r="E285" s="2">
        <v>5606.2920000000004</v>
      </c>
      <c r="F285" s="2">
        <v>495054</v>
      </c>
      <c r="G285" s="2">
        <v>2524.547</v>
      </c>
      <c r="H285" s="2">
        <v>763527</v>
      </c>
      <c r="I285" s="3">
        <v>40084</v>
      </c>
      <c r="J285" s="13">
        <v>17</v>
      </c>
      <c r="K285" s="43">
        <v>20</v>
      </c>
      <c r="L285" s="2"/>
    </row>
    <row r="286" spans="1:12">
      <c r="A286" s="1" t="s">
        <v>602</v>
      </c>
      <c r="B286" s="2" t="s">
        <v>46</v>
      </c>
      <c r="C286" s="2">
        <v>920</v>
      </c>
      <c r="D286" s="2">
        <v>2186454</v>
      </c>
      <c r="E286" s="2">
        <v>5380.73</v>
      </c>
      <c r="F286" s="2">
        <v>305019</v>
      </c>
      <c r="G286" s="2">
        <v>1983.117</v>
      </c>
      <c r="H286" s="2">
        <v>213083</v>
      </c>
      <c r="I286" s="3">
        <v>38685</v>
      </c>
      <c r="J286" s="13">
        <v>13</v>
      </c>
      <c r="K286" s="43">
        <v>18</v>
      </c>
      <c r="L286" s="2"/>
    </row>
    <row r="287" spans="1:12">
      <c r="A287" s="1" t="s">
        <v>603</v>
      </c>
      <c r="B287" s="2" t="s">
        <v>46</v>
      </c>
      <c r="C287" s="2">
        <v>920</v>
      </c>
      <c r="D287" s="2">
        <v>2061840</v>
      </c>
      <c r="E287" s="2">
        <v>5134.1530000000002</v>
      </c>
      <c r="F287" s="2">
        <v>328806</v>
      </c>
      <c r="G287" s="2">
        <v>2049.5520000000001</v>
      </c>
      <c r="H287" s="2">
        <v>708518</v>
      </c>
      <c r="I287" s="3">
        <v>46449</v>
      </c>
      <c r="J287" s="13">
        <v>16</v>
      </c>
      <c r="K287" s="43">
        <v>18</v>
      </c>
      <c r="L287" s="2"/>
    </row>
    <row r="288" spans="1:12">
      <c r="A288" s="1" t="s">
        <v>447</v>
      </c>
      <c r="B288" s="2" t="s">
        <v>46</v>
      </c>
      <c r="C288" s="2">
        <v>920</v>
      </c>
      <c r="D288" s="2">
        <v>1913853</v>
      </c>
      <c r="E288" s="2">
        <v>5484</v>
      </c>
      <c r="F288" s="2">
        <v>382322</v>
      </c>
      <c r="G288" s="2">
        <v>2221</v>
      </c>
      <c r="H288" s="2">
        <v>544244</v>
      </c>
      <c r="I288" s="3">
        <v>31394</v>
      </c>
      <c r="J288" s="13">
        <v>13</v>
      </c>
      <c r="K288" s="43">
        <v>21</v>
      </c>
      <c r="L288" s="2"/>
    </row>
    <row r="289" spans="1:12">
      <c r="A289" s="1" t="s">
        <v>448</v>
      </c>
      <c r="B289" s="2" t="s">
        <v>46</v>
      </c>
      <c r="C289" s="2">
        <v>920</v>
      </c>
      <c r="D289" s="2">
        <v>1485237</v>
      </c>
      <c r="E289" s="2">
        <v>4363</v>
      </c>
      <c r="F289" s="2">
        <v>200177</v>
      </c>
      <c r="G289" s="2">
        <v>1609</v>
      </c>
      <c r="H289" s="2">
        <v>435590</v>
      </c>
      <c r="I289" s="3">
        <v>22207</v>
      </c>
      <c r="J289" s="13">
        <v>7</v>
      </c>
      <c r="K289" s="43">
        <v>17</v>
      </c>
      <c r="L289" s="2"/>
    </row>
    <row r="290" spans="1:12">
      <c r="A290" s="1" t="s">
        <v>449</v>
      </c>
      <c r="B290" s="2" t="s">
        <v>46</v>
      </c>
      <c r="C290" s="2">
        <v>920</v>
      </c>
      <c r="D290" s="2">
        <v>1593252</v>
      </c>
      <c r="E290" s="2">
        <v>4529</v>
      </c>
      <c r="F290" s="2">
        <v>246314</v>
      </c>
      <c r="G290" s="2">
        <v>1777</v>
      </c>
      <c r="H290" s="2">
        <v>713671</v>
      </c>
      <c r="I290" s="3">
        <v>36902</v>
      </c>
      <c r="J290" s="13">
        <v>9</v>
      </c>
      <c r="K290" s="43">
        <v>17</v>
      </c>
      <c r="L290" s="2"/>
    </row>
    <row r="291" spans="1:12">
      <c r="A291" s="1" t="s">
        <v>1184</v>
      </c>
      <c r="B291" s="2" t="s">
        <v>46</v>
      </c>
      <c r="C291" s="2">
        <v>920</v>
      </c>
      <c r="D291" s="2">
        <v>3104733</v>
      </c>
      <c r="E291" s="2">
        <v>6282</v>
      </c>
      <c r="F291" s="2">
        <v>603816</v>
      </c>
      <c r="G291" s="2">
        <v>2777</v>
      </c>
      <c r="H291" s="2">
        <v>1169513</v>
      </c>
      <c r="I291" s="3">
        <v>45895</v>
      </c>
      <c r="J291" s="13">
        <v>22</v>
      </c>
      <c r="K291" s="2">
        <v>19</v>
      </c>
      <c r="L291" s="2"/>
    </row>
    <row r="292" spans="1:12">
      <c r="A292" s="1" t="s">
        <v>1185</v>
      </c>
      <c r="B292" s="2" t="s">
        <v>46</v>
      </c>
      <c r="C292" s="2">
        <v>920</v>
      </c>
      <c r="D292" s="2">
        <v>2696619</v>
      </c>
      <c r="E292" s="2">
        <v>5903</v>
      </c>
      <c r="F292" s="2">
        <v>449183</v>
      </c>
      <c r="G292" s="2">
        <v>2404</v>
      </c>
      <c r="H292" s="2">
        <v>0</v>
      </c>
      <c r="I292" s="3">
        <v>33202</v>
      </c>
      <c r="J292" s="13">
        <v>16</v>
      </c>
      <c r="K292" s="2">
        <v>21</v>
      </c>
      <c r="L292" s="2"/>
    </row>
    <row r="293" spans="1:12">
      <c r="A293" s="1" t="s">
        <v>1186</v>
      </c>
      <c r="B293" s="2" t="s">
        <v>46</v>
      </c>
      <c r="C293" s="2">
        <v>920</v>
      </c>
      <c r="D293" s="2">
        <v>2962854</v>
      </c>
      <c r="E293" s="2">
        <v>6185</v>
      </c>
      <c r="F293" s="2">
        <v>541594</v>
      </c>
      <c r="G293" s="2">
        <v>2632</v>
      </c>
      <c r="H293" s="2">
        <v>1127372</v>
      </c>
      <c r="I293" s="3">
        <v>37372</v>
      </c>
      <c r="J293" s="13">
        <v>16</v>
      </c>
      <c r="K293" s="2">
        <v>20</v>
      </c>
      <c r="L293" s="2"/>
    </row>
    <row r="294" spans="1:12">
      <c r="A294" s="1" t="s">
        <v>888</v>
      </c>
      <c r="B294" s="2" t="s">
        <v>46</v>
      </c>
      <c r="C294" s="2">
        <v>920</v>
      </c>
      <c r="D294" s="2">
        <v>1765686</v>
      </c>
      <c r="E294" s="2">
        <v>4766</v>
      </c>
      <c r="F294" s="2">
        <v>329717</v>
      </c>
      <c r="G294" s="2">
        <v>2055</v>
      </c>
      <c r="H294" s="2">
        <v>376685</v>
      </c>
      <c r="I294" s="3">
        <v>20751</v>
      </c>
      <c r="J294" s="13">
        <v>15</v>
      </c>
      <c r="K294" s="2">
        <v>19</v>
      </c>
      <c r="L294" s="2"/>
    </row>
    <row r="295" spans="1:12">
      <c r="A295" s="1" t="s">
        <v>889</v>
      </c>
      <c r="B295" s="2" t="s">
        <v>46</v>
      </c>
      <c r="C295" s="2">
        <v>920</v>
      </c>
      <c r="D295" s="2">
        <v>2264979</v>
      </c>
      <c r="E295" s="2">
        <v>5409</v>
      </c>
      <c r="F295" s="2">
        <v>258899</v>
      </c>
      <c r="G295" s="2">
        <v>1814</v>
      </c>
      <c r="H295" s="2">
        <v>429736</v>
      </c>
      <c r="I295" s="3">
        <v>24969</v>
      </c>
      <c r="J295" s="13">
        <v>10</v>
      </c>
      <c r="K295" s="2">
        <v>18</v>
      </c>
      <c r="L295" s="2"/>
    </row>
    <row r="296" spans="1:12">
      <c r="A296" s="1" t="s">
        <v>890</v>
      </c>
      <c r="B296" s="2" t="s">
        <v>46</v>
      </c>
      <c r="C296" s="2">
        <v>920</v>
      </c>
      <c r="D296" s="2">
        <v>2364204</v>
      </c>
      <c r="E296" s="2">
        <v>5517</v>
      </c>
      <c r="F296" s="2">
        <v>392680</v>
      </c>
      <c r="G296" s="2">
        <v>2235</v>
      </c>
      <c r="H296" s="2">
        <v>997942</v>
      </c>
      <c r="I296" s="3">
        <v>43375</v>
      </c>
      <c r="J296" s="13">
        <v>11</v>
      </c>
      <c r="K296" s="2">
        <v>17</v>
      </c>
      <c r="L296" s="2"/>
    </row>
    <row r="297" spans="1:12">
      <c r="A297" s="1" t="s">
        <v>891</v>
      </c>
      <c r="B297" s="2" t="s">
        <v>46</v>
      </c>
      <c r="C297" s="2">
        <v>920</v>
      </c>
      <c r="D297" s="2">
        <v>2315664</v>
      </c>
      <c r="E297" s="2">
        <v>5440</v>
      </c>
      <c r="F297" s="2">
        <v>421288</v>
      </c>
      <c r="G297" s="2">
        <v>2323</v>
      </c>
      <c r="H297" s="2">
        <v>1073054</v>
      </c>
      <c r="I297" s="3">
        <v>25028</v>
      </c>
      <c r="J297" s="13">
        <v>17</v>
      </c>
      <c r="K297" s="2">
        <v>20</v>
      </c>
      <c r="L297" s="2"/>
    </row>
    <row r="298" spans="1:12">
      <c r="A298" s="1" t="s">
        <v>892</v>
      </c>
      <c r="B298" s="2" t="s">
        <v>46</v>
      </c>
      <c r="C298" s="2">
        <v>920</v>
      </c>
      <c r="D298" s="2">
        <v>2135124</v>
      </c>
      <c r="E298" s="2">
        <v>5254</v>
      </c>
      <c r="F298" s="2">
        <v>308734</v>
      </c>
      <c r="G298" s="2">
        <v>1986</v>
      </c>
      <c r="H298" s="2">
        <v>556100</v>
      </c>
      <c r="I298" s="3">
        <v>34797</v>
      </c>
      <c r="J298" s="13">
        <v>10</v>
      </c>
      <c r="K298" s="2">
        <v>17</v>
      </c>
      <c r="L298" s="2"/>
    </row>
    <row r="299" spans="1:12">
      <c r="A299" s="1" t="s">
        <v>893</v>
      </c>
      <c r="B299" s="2" t="s">
        <v>46</v>
      </c>
      <c r="C299" s="2">
        <v>920</v>
      </c>
      <c r="D299" s="2">
        <v>1764636</v>
      </c>
      <c r="E299" s="2">
        <v>4900</v>
      </c>
      <c r="F299" s="2">
        <v>314927</v>
      </c>
      <c r="G299" s="2">
        <v>2009</v>
      </c>
      <c r="H299" s="2">
        <v>754375</v>
      </c>
      <c r="I299" s="3">
        <v>27006</v>
      </c>
      <c r="J299" s="13">
        <v>13</v>
      </c>
      <c r="K299" s="2">
        <v>19</v>
      </c>
      <c r="L299" s="2"/>
    </row>
    <row r="300" spans="1:12">
      <c r="A300" s="1" t="s">
        <v>894</v>
      </c>
      <c r="B300" s="2" t="s">
        <v>46</v>
      </c>
      <c r="C300" s="2">
        <v>920</v>
      </c>
      <c r="D300" s="2">
        <v>2237016</v>
      </c>
      <c r="E300" s="2">
        <v>5346</v>
      </c>
      <c r="F300" s="2">
        <v>423943</v>
      </c>
      <c r="G300" s="2">
        <v>2331</v>
      </c>
      <c r="H300" s="2">
        <v>1056641</v>
      </c>
      <c r="I300" s="3">
        <v>27361</v>
      </c>
      <c r="J300" s="13">
        <v>16</v>
      </c>
      <c r="K300" s="2">
        <v>20</v>
      </c>
      <c r="L300" s="2"/>
    </row>
    <row r="301" spans="1:12">
      <c r="A301" s="1" t="s">
        <v>895</v>
      </c>
      <c r="B301" s="2" t="s">
        <v>46</v>
      </c>
      <c r="C301" s="2">
        <v>920</v>
      </c>
      <c r="D301" s="2">
        <v>1898274</v>
      </c>
      <c r="E301" s="2">
        <v>4968</v>
      </c>
      <c r="F301" s="2">
        <v>293128</v>
      </c>
      <c r="G301" s="2">
        <v>1945</v>
      </c>
      <c r="H301" s="2">
        <v>465841</v>
      </c>
      <c r="I301" s="3">
        <v>33617</v>
      </c>
      <c r="J301" s="13">
        <v>13</v>
      </c>
      <c r="K301" s="2">
        <v>19</v>
      </c>
      <c r="L301" s="2"/>
    </row>
    <row r="302" spans="1:12">
      <c r="A302" s="1" t="s">
        <v>896</v>
      </c>
      <c r="B302" s="2" t="s">
        <v>46</v>
      </c>
      <c r="C302" s="2">
        <v>920</v>
      </c>
      <c r="D302" s="2">
        <v>2100390</v>
      </c>
      <c r="E302" s="2">
        <v>5185</v>
      </c>
      <c r="F302" s="2">
        <v>379534</v>
      </c>
      <c r="G302" s="2">
        <v>2199</v>
      </c>
      <c r="H302" s="2">
        <v>913788</v>
      </c>
      <c r="I302" s="3">
        <v>51173</v>
      </c>
      <c r="J302" s="13">
        <v>14</v>
      </c>
      <c r="K302" s="2">
        <v>18</v>
      </c>
      <c r="L302" s="2"/>
    </row>
    <row r="303" spans="1:12">
      <c r="A303" s="1" t="s">
        <v>1187</v>
      </c>
      <c r="B303" s="2" t="s">
        <v>46</v>
      </c>
      <c r="C303" s="2">
        <v>920</v>
      </c>
      <c r="D303" s="2">
        <v>2706879</v>
      </c>
      <c r="E303" s="2">
        <v>5912</v>
      </c>
      <c r="F303" s="2">
        <v>611474</v>
      </c>
      <c r="G303" s="2">
        <v>2805</v>
      </c>
      <c r="H303" s="2">
        <v>910829</v>
      </c>
      <c r="I303" s="3">
        <v>42713</v>
      </c>
      <c r="J303" s="13">
        <v>22</v>
      </c>
      <c r="K303" s="2">
        <v>24</v>
      </c>
      <c r="L303" s="2"/>
    </row>
    <row r="304" spans="1:12">
      <c r="A304" s="1" t="s">
        <v>1188</v>
      </c>
      <c r="B304" s="2" t="s">
        <v>46</v>
      </c>
      <c r="C304" s="2">
        <v>920</v>
      </c>
      <c r="D304" s="2">
        <v>2771148</v>
      </c>
      <c r="E304" s="2">
        <v>5942</v>
      </c>
      <c r="F304" s="2">
        <v>511061</v>
      </c>
      <c r="G304" s="2">
        <v>2555</v>
      </c>
      <c r="H304" s="2">
        <v>0</v>
      </c>
      <c r="I304" s="3">
        <v>40814</v>
      </c>
      <c r="J304" s="13">
        <v>14</v>
      </c>
      <c r="K304" s="2">
        <v>20</v>
      </c>
      <c r="L304" s="2"/>
    </row>
    <row r="305" spans="1:12">
      <c r="A305" s="1" t="s">
        <v>1189</v>
      </c>
      <c r="B305" s="2" t="s">
        <v>46</v>
      </c>
      <c r="C305" s="2">
        <v>920</v>
      </c>
      <c r="D305" s="2">
        <v>3448926</v>
      </c>
      <c r="E305" s="2">
        <v>6743</v>
      </c>
      <c r="F305" s="2">
        <v>556800</v>
      </c>
      <c r="G305" s="2">
        <v>2674</v>
      </c>
      <c r="H305" s="2">
        <v>1020086</v>
      </c>
      <c r="I305" s="3">
        <v>58847</v>
      </c>
      <c r="J305" s="13">
        <v>18</v>
      </c>
      <c r="K305" s="2">
        <v>20</v>
      </c>
      <c r="L305" s="2"/>
    </row>
    <row r="306" spans="1:12">
      <c r="A306" s="1" t="s">
        <v>897</v>
      </c>
      <c r="B306" s="2" t="s">
        <v>46</v>
      </c>
      <c r="C306" s="2">
        <v>920</v>
      </c>
      <c r="D306" s="2">
        <v>3908016</v>
      </c>
      <c r="E306" s="2">
        <v>7109</v>
      </c>
      <c r="F306" s="2">
        <v>734268</v>
      </c>
      <c r="G306" s="2">
        <v>3065</v>
      </c>
      <c r="H306" s="2">
        <v>1409874</v>
      </c>
      <c r="I306" s="3">
        <v>45186</v>
      </c>
      <c r="J306" s="13">
        <v>18</v>
      </c>
      <c r="K306" s="2">
        <v>23</v>
      </c>
      <c r="L306" s="2"/>
    </row>
    <row r="307" spans="1:12">
      <c r="A307" s="1" t="s">
        <v>898</v>
      </c>
      <c r="B307" s="2" t="s">
        <v>46</v>
      </c>
      <c r="C307" s="2">
        <v>920</v>
      </c>
      <c r="D307" s="2">
        <v>2613153</v>
      </c>
      <c r="E307" s="2">
        <v>5928</v>
      </c>
      <c r="F307" s="2">
        <v>342765</v>
      </c>
      <c r="G307" s="2">
        <v>2095</v>
      </c>
      <c r="H307" s="2">
        <v>184643</v>
      </c>
      <c r="I307" s="3">
        <v>29479</v>
      </c>
      <c r="J307" s="13">
        <v>10</v>
      </c>
      <c r="K307" s="2">
        <v>14</v>
      </c>
      <c r="L307" s="2"/>
    </row>
    <row r="308" spans="1:12">
      <c r="A308" s="1" t="s">
        <v>899</v>
      </c>
      <c r="B308" s="2" t="s">
        <v>46</v>
      </c>
      <c r="C308" s="2">
        <v>920</v>
      </c>
      <c r="D308" s="2">
        <v>2970270</v>
      </c>
      <c r="E308" s="2">
        <v>6298</v>
      </c>
      <c r="F308" s="2">
        <v>442298</v>
      </c>
      <c r="G308" s="2">
        <v>2399</v>
      </c>
      <c r="H308" s="2">
        <v>842247</v>
      </c>
      <c r="I308" s="3">
        <v>44404</v>
      </c>
      <c r="J308" s="13">
        <v>13</v>
      </c>
      <c r="K308" s="2">
        <v>20</v>
      </c>
      <c r="L308" s="2"/>
    </row>
    <row r="309" spans="1:12">
      <c r="A309" s="1" t="s">
        <v>900</v>
      </c>
      <c r="B309" s="2" t="s">
        <v>46</v>
      </c>
      <c r="C309" s="2">
        <v>920</v>
      </c>
      <c r="D309" s="2">
        <v>3318975</v>
      </c>
      <c r="E309" s="2">
        <v>6498</v>
      </c>
      <c r="F309" s="2">
        <v>643404</v>
      </c>
      <c r="G309" s="2">
        <v>2862</v>
      </c>
      <c r="H309" s="2">
        <v>1433595</v>
      </c>
      <c r="I309" s="3">
        <v>33953</v>
      </c>
      <c r="J309" s="13">
        <v>18</v>
      </c>
      <c r="K309" s="2">
        <v>22</v>
      </c>
      <c r="L309" s="2"/>
    </row>
    <row r="310" spans="1:12">
      <c r="A310" s="1" t="s">
        <v>901</v>
      </c>
      <c r="B310" s="2" t="s">
        <v>46</v>
      </c>
      <c r="C310" s="2">
        <v>920</v>
      </c>
      <c r="D310" s="2">
        <v>2085891</v>
      </c>
      <c r="E310" s="2">
        <v>5141</v>
      </c>
      <c r="F310" s="2">
        <v>279453</v>
      </c>
      <c r="G310" s="2">
        <v>1887</v>
      </c>
      <c r="H310" s="2">
        <v>14221</v>
      </c>
      <c r="I310" s="3">
        <v>19992</v>
      </c>
      <c r="J310" s="13">
        <v>13</v>
      </c>
      <c r="K310" s="2">
        <v>17</v>
      </c>
      <c r="L310" s="2"/>
    </row>
    <row r="311" spans="1:12">
      <c r="A311" s="1" t="s">
        <v>902</v>
      </c>
      <c r="B311" s="2" t="s">
        <v>46</v>
      </c>
      <c r="C311" s="2">
        <v>920</v>
      </c>
      <c r="D311" s="2">
        <v>2307501</v>
      </c>
      <c r="E311" s="2">
        <v>5469</v>
      </c>
      <c r="F311" s="2">
        <v>403588</v>
      </c>
      <c r="G311" s="2">
        <v>2271</v>
      </c>
      <c r="H311" s="2">
        <v>1033915</v>
      </c>
      <c r="I311" s="3">
        <v>43528</v>
      </c>
      <c r="J311" s="13">
        <v>17</v>
      </c>
      <c r="K311" s="2">
        <v>20</v>
      </c>
      <c r="L311" s="2"/>
    </row>
    <row r="312" spans="1:12">
      <c r="A312" s="1" t="s">
        <v>965</v>
      </c>
      <c r="B312" s="2" t="s">
        <v>310</v>
      </c>
      <c r="C312" s="2">
        <v>500</v>
      </c>
      <c r="D312" s="2">
        <v>913932</v>
      </c>
      <c r="E312" s="2">
        <v>3412</v>
      </c>
      <c r="F312" s="2">
        <v>172284</v>
      </c>
      <c r="G312" s="2">
        <v>1483</v>
      </c>
      <c r="H312" s="2">
        <v>466605</v>
      </c>
      <c r="I312" s="3">
        <v>12097</v>
      </c>
      <c r="J312" s="13">
        <v>17</v>
      </c>
      <c r="K312" s="2">
        <v>18</v>
      </c>
      <c r="L312" s="2"/>
    </row>
    <row r="313" spans="1:12">
      <c r="A313" s="1" t="s">
        <v>903</v>
      </c>
      <c r="B313" s="2" t="s">
        <v>46</v>
      </c>
      <c r="C313" s="2">
        <v>920</v>
      </c>
      <c r="D313" s="2">
        <v>2510556</v>
      </c>
      <c r="E313" s="2">
        <v>5812</v>
      </c>
      <c r="F313" s="2">
        <v>290062</v>
      </c>
      <c r="G313" s="2">
        <v>1944</v>
      </c>
      <c r="H313" s="2">
        <v>754426</v>
      </c>
      <c r="I313" s="3">
        <v>29547</v>
      </c>
      <c r="J313" s="13">
        <v>12</v>
      </c>
      <c r="K313" s="2">
        <v>20</v>
      </c>
      <c r="L313" s="2"/>
    </row>
    <row r="314" spans="1:12">
      <c r="A314" s="1" t="s">
        <v>904</v>
      </c>
      <c r="B314" s="2" t="s">
        <v>46</v>
      </c>
      <c r="C314" s="2">
        <v>920</v>
      </c>
      <c r="D314" s="2">
        <v>3500871</v>
      </c>
      <c r="E314" s="2">
        <v>6778</v>
      </c>
      <c r="F314" s="2">
        <v>520889</v>
      </c>
      <c r="G314" s="2">
        <v>2583</v>
      </c>
      <c r="H314" s="2">
        <v>1714736</v>
      </c>
      <c r="I314" s="3">
        <v>57599</v>
      </c>
      <c r="J314" s="13">
        <v>15</v>
      </c>
      <c r="K314" s="2">
        <v>22</v>
      </c>
      <c r="L314" s="2"/>
    </row>
    <row r="315" spans="1:12">
      <c r="A315" s="1" t="s">
        <v>905</v>
      </c>
      <c r="B315" s="2" t="s">
        <v>46</v>
      </c>
      <c r="C315" s="2">
        <v>920</v>
      </c>
      <c r="D315" s="2">
        <v>2294682</v>
      </c>
      <c r="E315" s="2">
        <v>5481</v>
      </c>
      <c r="F315" s="2">
        <v>374034</v>
      </c>
      <c r="G315" s="2">
        <v>2188</v>
      </c>
      <c r="H315" s="2">
        <v>976901</v>
      </c>
      <c r="I315" s="3">
        <v>46420</v>
      </c>
      <c r="J315" s="13">
        <v>11</v>
      </c>
      <c r="K315" s="2">
        <v>19</v>
      </c>
      <c r="L315" s="2"/>
    </row>
    <row r="316" spans="1:12">
      <c r="A316" s="1" t="s">
        <v>906</v>
      </c>
      <c r="B316" s="2" t="s">
        <v>46</v>
      </c>
      <c r="C316" s="2">
        <v>920</v>
      </c>
      <c r="D316" s="2">
        <v>2220261</v>
      </c>
      <c r="E316" s="2">
        <v>5336</v>
      </c>
      <c r="F316" s="2">
        <v>293777</v>
      </c>
      <c r="G316" s="2">
        <v>1940</v>
      </c>
      <c r="H316" s="2">
        <v>214452</v>
      </c>
      <c r="I316" s="3">
        <v>43271</v>
      </c>
      <c r="J316" s="13">
        <v>10</v>
      </c>
      <c r="K316" s="2">
        <v>18</v>
      </c>
      <c r="L316" s="2"/>
    </row>
    <row r="317" spans="1:12">
      <c r="A317" s="1" t="s">
        <v>907</v>
      </c>
      <c r="B317" s="2" t="s">
        <v>46</v>
      </c>
      <c r="C317" s="2">
        <v>920</v>
      </c>
      <c r="D317" s="2">
        <v>2016945</v>
      </c>
      <c r="E317" s="2">
        <v>5161</v>
      </c>
      <c r="F317" s="2">
        <v>316822</v>
      </c>
      <c r="G317" s="2">
        <v>2017</v>
      </c>
      <c r="H317" s="2">
        <v>874792</v>
      </c>
      <c r="I317" s="3">
        <v>45974</v>
      </c>
      <c r="J317" s="13">
        <v>10</v>
      </c>
      <c r="K317" s="2">
        <v>18</v>
      </c>
      <c r="L317" s="2"/>
    </row>
    <row r="318" spans="1:12">
      <c r="A318" s="1" t="s">
        <v>604</v>
      </c>
      <c r="B318" s="2" t="s">
        <v>46</v>
      </c>
      <c r="C318" s="2">
        <v>920</v>
      </c>
      <c r="D318" s="2">
        <v>2640639</v>
      </c>
      <c r="E318" s="2">
        <v>5802.817</v>
      </c>
      <c r="F318" s="2">
        <v>683608</v>
      </c>
      <c r="G318" s="2">
        <v>2955.453</v>
      </c>
      <c r="H318" s="2">
        <v>659937</v>
      </c>
      <c r="I318" s="2">
        <v>42751</v>
      </c>
      <c r="J318" s="13">
        <v>16</v>
      </c>
      <c r="K318" s="43">
        <v>21</v>
      </c>
      <c r="L318" s="2"/>
    </row>
    <row r="319" spans="1:12">
      <c r="A319" s="1" t="s">
        <v>605</v>
      </c>
      <c r="B319" s="2" t="s">
        <v>46</v>
      </c>
      <c r="C319" s="2">
        <v>920</v>
      </c>
      <c r="D319" s="2">
        <v>3384447</v>
      </c>
      <c r="E319" s="2">
        <v>6578.2939999999999</v>
      </c>
      <c r="F319" s="2">
        <v>677312</v>
      </c>
      <c r="G319" s="2">
        <v>2952.9769999999999</v>
      </c>
      <c r="H319" s="2">
        <v>0</v>
      </c>
      <c r="I319" s="2">
        <v>38981</v>
      </c>
      <c r="J319" s="13">
        <v>16</v>
      </c>
      <c r="K319" s="43">
        <v>21</v>
      </c>
      <c r="L319" s="2"/>
    </row>
    <row r="320" spans="1:12">
      <c r="A320" s="1" t="s">
        <v>606</v>
      </c>
      <c r="B320" s="2" t="s">
        <v>46</v>
      </c>
      <c r="C320" s="2">
        <v>920</v>
      </c>
      <c r="D320" s="2">
        <v>3182049</v>
      </c>
      <c r="E320" s="2">
        <v>6364.22</v>
      </c>
      <c r="F320" s="2">
        <v>714381</v>
      </c>
      <c r="G320" s="2">
        <v>3028.922</v>
      </c>
      <c r="H320" s="2">
        <v>674235</v>
      </c>
      <c r="I320" s="2">
        <v>47433</v>
      </c>
      <c r="J320" s="13">
        <v>16</v>
      </c>
      <c r="K320" s="43">
        <v>20</v>
      </c>
      <c r="L320" s="2"/>
    </row>
    <row r="321" spans="1:12">
      <c r="A321" s="1" t="s">
        <v>1190</v>
      </c>
      <c r="B321" s="2" t="s">
        <v>46</v>
      </c>
      <c r="C321" s="2">
        <v>920</v>
      </c>
      <c r="D321" s="2">
        <v>1908429</v>
      </c>
      <c r="E321" s="2">
        <v>4938</v>
      </c>
      <c r="F321" s="2">
        <v>468409</v>
      </c>
      <c r="G321" s="2">
        <v>2452</v>
      </c>
      <c r="H321" s="2">
        <v>545327</v>
      </c>
      <c r="I321" s="2">
        <v>26861</v>
      </c>
      <c r="J321" s="13">
        <v>16</v>
      </c>
      <c r="K321" s="2">
        <v>20</v>
      </c>
      <c r="L321" s="2"/>
    </row>
    <row r="322" spans="1:12">
      <c r="A322" s="1" t="s">
        <v>1191</v>
      </c>
      <c r="B322" s="2" t="s">
        <v>46</v>
      </c>
      <c r="C322" s="2">
        <v>920</v>
      </c>
      <c r="D322" s="2">
        <v>1827474</v>
      </c>
      <c r="E322" s="2">
        <v>4938</v>
      </c>
      <c r="F322" s="2">
        <v>304879</v>
      </c>
      <c r="G322" s="2">
        <v>2004</v>
      </c>
      <c r="H322" s="2">
        <v>55779</v>
      </c>
      <c r="I322" s="2">
        <v>23259</v>
      </c>
      <c r="J322" s="13">
        <v>11</v>
      </c>
      <c r="K322" s="2">
        <v>17</v>
      </c>
      <c r="L322" s="2"/>
    </row>
    <row r="323" spans="1:12">
      <c r="A323" s="1" t="s">
        <v>1192</v>
      </c>
      <c r="B323" s="2" t="s">
        <v>46</v>
      </c>
      <c r="C323" s="2">
        <v>920</v>
      </c>
      <c r="D323" s="2">
        <v>1577412</v>
      </c>
      <c r="E323" s="2">
        <v>4479</v>
      </c>
      <c r="F323" s="2">
        <v>342406</v>
      </c>
      <c r="G323" s="2">
        <v>2092</v>
      </c>
      <c r="H323" s="2">
        <v>524587</v>
      </c>
      <c r="I323" s="2">
        <v>31662</v>
      </c>
      <c r="J323" s="13">
        <v>13</v>
      </c>
      <c r="K323" s="2">
        <v>18</v>
      </c>
      <c r="L323" s="2"/>
    </row>
    <row r="324" spans="1:12">
      <c r="A324" s="1" t="s">
        <v>450</v>
      </c>
      <c r="B324" s="2" t="s">
        <v>46</v>
      </c>
      <c r="C324" s="2">
        <v>920</v>
      </c>
      <c r="D324" s="2">
        <v>2864445</v>
      </c>
      <c r="E324" s="2">
        <v>6073</v>
      </c>
      <c r="F324" s="2">
        <v>531051</v>
      </c>
      <c r="G324" s="2">
        <v>2597</v>
      </c>
      <c r="H324" s="2">
        <v>1071568</v>
      </c>
      <c r="I324" s="2">
        <v>52292</v>
      </c>
      <c r="J324" s="13">
        <v>14</v>
      </c>
      <c r="K324" s="43">
        <v>18</v>
      </c>
      <c r="L324" s="2"/>
    </row>
    <row r="325" spans="1:12">
      <c r="A325" s="1" t="s">
        <v>451</v>
      </c>
      <c r="B325" s="2" t="s">
        <v>46</v>
      </c>
      <c r="C325" s="2">
        <v>920</v>
      </c>
      <c r="D325" s="2">
        <v>2621796</v>
      </c>
      <c r="E325" s="2">
        <v>5786</v>
      </c>
      <c r="F325" s="2">
        <v>615918</v>
      </c>
      <c r="G325" s="2">
        <v>2801</v>
      </c>
      <c r="H325" s="2">
        <v>740131</v>
      </c>
      <c r="I325" s="2">
        <v>36831</v>
      </c>
      <c r="J325" s="13">
        <v>18</v>
      </c>
      <c r="K325" s="43">
        <v>20</v>
      </c>
      <c r="L325" s="2"/>
    </row>
    <row r="326" spans="1:12">
      <c r="A326" s="1" t="s">
        <v>452</v>
      </c>
      <c r="B326" s="2" t="s">
        <v>46</v>
      </c>
      <c r="C326" s="2">
        <v>920</v>
      </c>
      <c r="D326" s="2">
        <v>3708216</v>
      </c>
      <c r="E326" s="2">
        <v>6963</v>
      </c>
      <c r="F326" s="2">
        <v>640926</v>
      </c>
      <c r="G326" s="2">
        <v>2929</v>
      </c>
      <c r="H326" s="2">
        <v>1133932</v>
      </c>
      <c r="I326" s="2">
        <v>38612</v>
      </c>
      <c r="J326" s="13">
        <v>14</v>
      </c>
      <c r="K326" s="43">
        <v>19</v>
      </c>
      <c r="L326" s="2"/>
    </row>
    <row r="327" spans="1:12">
      <c r="A327" s="1" t="s">
        <v>1193</v>
      </c>
      <c r="B327" s="2" t="s">
        <v>46</v>
      </c>
      <c r="C327" s="2">
        <v>920</v>
      </c>
      <c r="D327" s="2">
        <v>2161356</v>
      </c>
      <c r="E327" s="2">
        <v>5398</v>
      </c>
      <c r="F327" s="2">
        <v>397169</v>
      </c>
      <c r="G327" s="2">
        <v>2247</v>
      </c>
      <c r="H327" s="2">
        <v>727444</v>
      </c>
      <c r="I327" s="2">
        <v>56738</v>
      </c>
      <c r="J327" s="13">
        <v>13</v>
      </c>
      <c r="K327" s="2">
        <v>18</v>
      </c>
      <c r="L327" s="2"/>
    </row>
    <row r="328" spans="1:12">
      <c r="A328" s="1" t="s">
        <v>1194</v>
      </c>
      <c r="B328" s="2" t="s">
        <v>46</v>
      </c>
      <c r="C328" s="2">
        <v>920</v>
      </c>
      <c r="D328" s="2">
        <v>2547546</v>
      </c>
      <c r="E328" s="2">
        <v>5789</v>
      </c>
      <c r="F328" s="2">
        <v>327458</v>
      </c>
      <c r="G328" s="2">
        <v>2042</v>
      </c>
      <c r="H328" s="2">
        <v>446173</v>
      </c>
      <c r="I328" s="2">
        <v>37195</v>
      </c>
      <c r="J328" s="13">
        <v>10</v>
      </c>
      <c r="K328" s="2">
        <v>19</v>
      </c>
      <c r="L328" s="2"/>
    </row>
    <row r="329" spans="1:12">
      <c r="A329" s="1" t="s">
        <v>1195</v>
      </c>
      <c r="B329" s="2" t="s">
        <v>46</v>
      </c>
      <c r="C329" s="2">
        <v>920</v>
      </c>
      <c r="D329" s="2">
        <v>2177154</v>
      </c>
      <c r="E329" s="2">
        <v>5478</v>
      </c>
      <c r="F329" s="2">
        <v>353772</v>
      </c>
      <c r="G329" s="2">
        <v>2125</v>
      </c>
      <c r="H329" s="2">
        <v>802291</v>
      </c>
      <c r="I329" s="2">
        <v>49123</v>
      </c>
      <c r="J329" s="13">
        <v>10</v>
      </c>
      <c r="K329" s="2">
        <v>17</v>
      </c>
      <c r="L329" s="2"/>
    </row>
    <row r="330" spans="1:12">
      <c r="A330" s="1" t="s">
        <v>908</v>
      </c>
      <c r="B330" s="2" t="s">
        <v>46</v>
      </c>
      <c r="C330" s="2">
        <v>920</v>
      </c>
      <c r="D330" s="2">
        <v>3458055</v>
      </c>
      <c r="E330" s="2">
        <v>6626</v>
      </c>
      <c r="F330" s="2">
        <v>900133</v>
      </c>
      <c r="G330" s="2">
        <v>3388</v>
      </c>
      <c r="H330" s="2">
        <v>1124717</v>
      </c>
      <c r="I330" s="2">
        <v>43327</v>
      </c>
      <c r="J330" s="13">
        <v>21</v>
      </c>
      <c r="K330" s="2">
        <v>22</v>
      </c>
      <c r="L330" s="2"/>
    </row>
    <row r="331" spans="1:12">
      <c r="A331" s="1" t="s">
        <v>909</v>
      </c>
      <c r="B331" s="2" t="s">
        <v>310</v>
      </c>
      <c r="C331" s="2">
        <v>500</v>
      </c>
      <c r="D331" s="2">
        <v>941039</v>
      </c>
      <c r="E331" s="2">
        <v>3537</v>
      </c>
      <c r="F331" s="2">
        <v>139746</v>
      </c>
      <c r="G331" s="2">
        <v>1353</v>
      </c>
      <c r="H331" s="2">
        <v>32942</v>
      </c>
      <c r="I331" s="2">
        <v>9292</v>
      </c>
      <c r="J331" s="13">
        <v>13</v>
      </c>
      <c r="K331" s="2">
        <v>20</v>
      </c>
      <c r="L331" s="2"/>
    </row>
    <row r="332" spans="1:12">
      <c r="A332" s="1" t="s">
        <v>910</v>
      </c>
      <c r="B332" s="2" t="s">
        <v>310</v>
      </c>
      <c r="C332" s="2">
        <v>500</v>
      </c>
      <c r="D332" s="2">
        <v>993112</v>
      </c>
      <c r="E332" s="2">
        <v>3556</v>
      </c>
      <c r="F332" s="2">
        <v>186480</v>
      </c>
      <c r="G332" s="2">
        <v>1544</v>
      </c>
      <c r="H332" s="2">
        <v>405304</v>
      </c>
      <c r="I332" s="2">
        <v>11715</v>
      </c>
      <c r="J332" s="13">
        <v>14</v>
      </c>
      <c r="K332" s="2">
        <v>22</v>
      </c>
      <c r="L332" s="2"/>
    </row>
    <row r="333" spans="1:12">
      <c r="A333" s="1" t="s">
        <v>607</v>
      </c>
      <c r="B333" s="2" t="s">
        <v>46</v>
      </c>
      <c r="C333" s="2">
        <v>920</v>
      </c>
      <c r="D333" s="2">
        <v>2411037</v>
      </c>
      <c r="E333" s="2">
        <v>5541.7560000000003</v>
      </c>
      <c r="F333" s="2">
        <v>595874</v>
      </c>
      <c r="G333" s="2">
        <v>2752.6590000000001</v>
      </c>
      <c r="H333" s="2">
        <v>886893</v>
      </c>
      <c r="I333" s="2">
        <v>29384</v>
      </c>
      <c r="J333" s="13">
        <v>19</v>
      </c>
      <c r="K333" s="43">
        <v>21</v>
      </c>
      <c r="L333" s="2"/>
    </row>
    <row r="334" spans="1:12">
      <c r="A334" s="1" t="s">
        <v>608</v>
      </c>
      <c r="B334" s="2" t="s">
        <v>46</v>
      </c>
      <c r="C334" s="2">
        <v>920</v>
      </c>
      <c r="D334" s="2">
        <v>1847253</v>
      </c>
      <c r="E334" s="2">
        <v>5020.7879999999996</v>
      </c>
      <c r="F334" s="2">
        <v>334879</v>
      </c>
      <c r="G334" s="2">
        <v>2103.3020000000001</v>
      </c>
      <c r="H334" s="2">
        <v>89664</v>
      </c>
      <c r="I334" s="2">
        <v>24150</v>
      </c>
      <c r="J334" s="13">
        <v>13</v>
      </c>
      <c r="K334" s="43">
        <v>19</v>
      </c>
      <c r="L334" s="2"/>
    </row>
    <row r="335" spans="1:12">
      <c r="A335" s="1" t="s">
        <v>609</v>
      </c>
      <c r="B335" s="2" t="s">
        <v>46</v>
      </c>
      <c r="C335" s="2">
        <v>920</v>
      </c>
      <c r="D335" s="2">
        <v>2732682</v>
      </c>
      <c r="E335" s="2">
        <v>5890.8879999999999</v>
      </c>
      <c r="F335" s="2">
        <v>552758</v>
      </c>
      <c r="G335" s="2">
        <v>2653.4839999999999</v>
      </c>
      <c r="H335" s="2">
        <v>1204164</v>
      </c>
      <c r="I335" s="2">
        <v>36248</v>
      </c>
      <c r="J335" s="13">
        <v>14</v>
      </c>
      <c r="K335" s="43">
        <v>20</v>
      </c>
      <c r="L335" s="2"/>
    </row>
    <row r="336" spans="1:12">
      <c r="A336" s="1" t="s">
        <v>1196</v>
      </c>
      <c r="B336" s="2" t="s">
        <v>46</v>
      </c>
      <c r="C336" s="2">
        <v>920</v>
      </c>
      <c r="D336" s="2">
        <v>1735191</v>
      </c>
      <c r="E336" s="2">
        <v>4724</v>
      </c>
      <c r="F336" s="2">
        <v>405245</v>
      </c>
      <c r="G336" s="2">
        <v>2283</v>
      </c>
      <c r="H336" s="2">
        <v>697047</v>
      </c>
      <c r="I336" s="2">
        <v>25896</v>
      </c>
      <c r="J336" s="13">
        <v>12</v>
      </c>
      <c r="K336" s="2">
        <v>18</v>
      </c>
      <c r="L336" s="2"/>
    </row>
    <row r="337" spans="1:12">
      <c r="A337" s="1" t="s">
        <v>1197</v>
      </c>
      <c r="B337" s="2" t="s">
        <v>46</v>
      </c>
      <c r="C337" s="2">
        <v>920</v>
      </c>
      <c r="D337" s="2">
        <v>1763907</v>
      </c>
      <c r="E337" s="2">
        <v>4784</v>
      </c>
      <c r="F337" s="2">
        <v>270790</v>
      </c>
      <c r="G337" s="2">
        <v>1859</v>
      </c>
      <c r="H337" s="2">
        <v>109533</v>
      </c>
      <c r="I337" s="2">
        <v>34004</v>
      </c>
      <c r="J337" s="13">
        <v>11</v>
      </c>
      <c r="K337" s="2">
        <v>17</v>
      </c>
      <c r="L337" s="2"/>
    </row>
    <row r="338" spans="1:12">
      <c r="A338" s="1" t="s">
        <v>1198</v>
      </c>
      <c r="B338" s="2" t="s">
        <v>46</v>
      </c>
      <c r="C338" s="2">
        <v>920</v>
      </c>
      <c r="D338" s="2">
        <v>1680234</v>
      </c>
      <c r="E338" s="2">
        <v>4666</v>
      </c>
      <c r="F338" s="2">
        <v>338278</v>
      </c>
      <c r="G338" s="2">
        <v>2078</v>
      </c>
      <c r="H338" s="2">
        <v>673409</v>
      </c>
      <c r="I338" s="2">
        <v>33329</v>
      </c>
      <c r="J338" s="13">
        <v>11</v>
      </c>
      <c r="K338" s="2">
        <v>16</v>
      </c>
      <c r="L338" s="2"/>
    </row>
    <row r="339" spans="1:12">
      <c r="A339" s="1" t="s">
        <v>1199</v>
      </c>
      <c r="B339" s="2" t="s">
        <v>46</v>
      </c>
      <c r="C339" s="2">
        <v>920</v>
      </c>
      <c r="D339" s="2">
        <v>2668074</v>
      </c>
      <c r="E339" s="2">
        <v>5861</v>
      </c>
      <c r="F339" s="2">
        <v>458294</v>
      </c>
      <c r="G339" s="2">
        <v>2423</v>
      </c>
      <c r="H339" s="2">
        <v>1116530</v>
      </c>
      <c r="I339" s="2">
        <v>31492</v>
      </c>
      <c r="J339" s="13">
        <v>16</v>
      </c>
      <c r="K339" s="2">
        <v>21</v>
      </c>
      <c r="L339" s="2"/>
    </row>
    <row r="340" spans="1:12">
      <c r="A340" s="1" t="s">
        <v>1200</v>
      </c>
      <c r="B340" s="2" t="s">
        <v>46</v>
      </c>
      <c r="C340" s="2">
        <v>920</v>
      </c>
      <c r="D340" s="2">
        <v>1460103</v>
      </c>
      <c r="E340" s="2">
        <v>4348</v>
      </c>
      <c r="F340" s="2">
        <v>249742</v>
      </c>
      <c r="G340" s="2">
        <v>1790</v>
      </c>
      <c r="H340" s="2">
        <v>355935</v>
      </c>
      <c r="I340" s="2">
        <v>19469</v>
      </c>
      <c r="J340" s="13">
        <v>12</v>
      </c>
      <c r="K340" s="2">
        <v>19</v>
      </c>
      <c r="L340" s="2"/>
    </row>
    <row r="341" spans="1:12">
      <c r="A341" s="1" t="s">
        <v>1201</v>
      </c>
      <c r="B341" s="2" t="s">
        <v>46</v>
      </c>
      <c r="C341" s="2">
        <v>920</v>
      </c>
      <c r="D341" s="2">
        <v>2530212</v>
      </c>
      <c r="E341" s="2">
        <v>5707</v>
      </c>
      <c r="F341" s="2">
        <v>406424</v>
      </c>
      <c r="G341" s="2">
        <v>2278</v>
      </c>
      <c r="H341" s="2">
        <v>985063</v>
      </c>
      <c r="I341" s="2">
        <v>34555</v>
      </c>
      <c r="J341" s="13">
        <v>12</v>
      </c>
      <c r="K341" s="2">
        <v>20</v>
      </c>
      <c r="L341" s="2"/>
    </row>
    <row r="342" spans="1:12">
      <c r="A342" s="1" t="s">
        <v>1202</v>
      </c>
      <c r="B342" s="2" t="s">
        <v>46</v>
      </c>
      <c r="C342" s="2">
        <v>920</v>
      </c>
      <c r="D342" s="2">
        <v>1975242</v>
      </c>
      <c r="E342" s="2">
        <v>5025</v>
      </c>
      <c r="F342" s="2">
        <v>443215</v>
      </c>
      <c r="G342" s="2">
        <v>2379</v>
      </c>
      <c r="H342" s="2">
        <v>415584</v>
      </c>
      <c r="I342" s="2">
        <v>25173</v>
      </c>
      <c r="J342" s="13">
        <v>17</v>
      </c>
      <c r="K342" s="2">
        <v>20</v>
      </c>
      <c r="L342" s="2"/>
    </row>
    <row r="343" spans="1:12">
      <c r="A343" s="1" t="s">
        <v>1203</v>
      </c>
      <c r="B343" s="2" t="s">
        <v>46</v>
      </c>
      <c r="C343" s="2">
        <v>920</v>
      </c>
      <c r="D343" s="2">
        <v>1588719</v>
      </c>
      <c r="E343" s="2">
        <v>4531</v>
      </c>
      <c r="F343" s="2">
        <v>301809</v>
      </c>
      <c r="G343" s="2">
        <v>1957</v>
      </c>
      <c r="H343" s="2">
        <v>554345</v>
      </c>
      <c r="I343" s="2">
        <v>34610</v>
      </c>
      <c r="J343" s="13">
        <v>15</v>
      </c>
      <c r="K343" s="2">
        <v>17</v>
      </c>
      <c r="L343" s="2"/>
    </row>
    <row r="344" spans="1:12">
      <c r="A344" s="1" t="s">
        <v>1204</v>
      </c>
      <c r="B344" s="2" t="s">
        <v>46</v>
      </c>
      <c r="C344" s="2">
        <v>920</v>
      </c>
      <c r="D344" s="2">
        <v>1930671</v>
      </c>
      <c r="E344" s="2">
        <v>4982</v>
      </c>
      <c r="F344" s="2">
        <v>437852</v>
      </c>
      <c r="G344" s="2">
        <v>2361</v>
      </c>
      <c r="H344" s="2">
        <v>657618</v>
      </c>
      <c r="I344" s="2">
        <v>36543</v>
      </c>
      <c r="J344" s="13">
        <v>15</v>
      </c>
      <c r="K344" s="2">
        <v>16</v>
      </c>
      <c r="L344" s="2"/>
    </row>
    <row r="345" spans="1:12">
      <c r="A345" s="1" t="s">
        <v>911</v>
      </c>
      <c r="B345" s="2" t="s">
        <v>46</v>
      </c>
      <c r="C345" s="2">
        <v>920</v>
      </c>
      <c r="D345" s="2">
        <v>2789253</v>
      </c>
      <c r="E345" s="2">
        <v>6232</v>
      </c>
      <c r="F345" s="2">
        <v>537560</v>
      </c>
      <c r="G345" s="2">
        <v>2632</v>
      </c>
      <c r="H345" s="2">
        <v>751385</v>
      </c>
      <c r="I345" s="2">
        <v>26250</v>
      </c>
      <c r="J345" s="13">
        <v>15</v>
      </c>
      <c r="K345" s="2">
        <v>22</v>
      </c>
      <c r="L345" s="2"/>
    </row>
    <row r="346" spans="1:12">
      <c r="A346" s="1" t="s">
        <v>912</v>
      </c>
      <c r="B346" s="2" t="s">
        <v>46</v>
      </c>
      <c r="C346" s="2">
        <v>920</v>
      </c>
      <c r="D346" s="2">
        <v>2267166</v>
      </c>
      <c r="E346" s="2">
        <v>5449</v>
      </c>
      <c r="F346" s="2">
        <v>280381</v>
      </c>
      <c r="G346" s="2">
        <v>1901</v>
      </c>
      <c r="H346" s="2">
        <v>692887</v>
      </c>
      <c r="I346" s="2">
        <v>24888</v>
      </c>
      <c r="J346" s="13">
        <v>9</v>
      </c>
      <c r="K346" s="2">
        <v>18</v>
      </c>
      <c r="L346" s="2"/>
    </row>
    <row r="347" spans="1:12">
      <c r="A347" s="1" t="s">
        <v>913</v>
      </c>
      <c r="B347" s="2" t="s">
        <v>46</v>
      </c>
      <c r="C347" s="2">
        <v>920</v>
      </c>
      <c r="D347" s="2">
        <v>1638915</v>
      </c>
      <c r="E347" s="2">
        <v>4566</v>
      </c>
      <c r="F347" s="2">
        <v>227695</v>
      </c>
      <c r="G347" s="2">
        <v>1701</v>
      </c>
      <c r="H347" s="2">
        <v>680551</v>
      </c>
      <c r="I347" s="2">
        <v>28548</v>
      </c>
      <c r="J347" s="13">
        <v>13</v>
      </c>
      <c r="K347" s="2">
        <v>17</v>
      </c>
      <c r="L347" s="2"/>
    </row>
    <row r="348" spans="1:12">
      <c r="A348" s="1" t="s">
        <v>1205</v>
      </c>
      <c r="B348" s="2" t="s">
        <v>46</v>
      </c>
      <c r="C348" s="2">
        <v>920</v>
      </c>
      <c r="D348" s="2">
        <v>2482884</v>
      </c>
      <c r="E348" s="2">
        <v>5625</v>
      </c>
      <c r="F348" s="2">
        <v>471082</v>
      </c>
      <c r="G348" s="2">
        <v>2455</v>
      </c>
      <c r="H348" s="2">
        <v>884007</v>
      </c>
      <c r="I348" s="2">
        <v>23310</v>
      </c>
      <c r="J348" s="13">
        <v>17</v>
      </c>
      <c r="K348" s="2">
        <v>22</v>
      </c>
      <c r="L348" s="2"/>
    </row>
    <row r="349" spans="1:12">
      <c r="A349" s="1" t="s">
        <v>1206</v>
      </c>
      <c r="B349" s="2" t="s">
        <v>46</v>
      </c>
      <c r="C349" s="2">
        <v>920</v>
      </c>
      <c r="D349" s="2">
        <v>1729080</v>
      </c>
      <c r="E349" s="2">
        <v>4865</v>
      </c>
      <c r="F349" s="2">
        <v>238050</v>
      </c>
      <c r="G349" s="2">
        <v>1756</v>
      </c>
      <c r="H349" s="2">
        <v>613416</v>
      </c>
      <c r="I349" s="2">
        <v>22733</v>
      </c>
      <c r="J349" s="13">
        <v>14</v>
      </c>
      <c r="K349" s="2">
        <v>19</v>
      </c>
      <c r="L349" s="2"/>
    </row>
    <row r="350" spans="1:12">
      <c r="A350" s="1" t="s">
        <v>1207</v>
      </c>
      <c r="B350" s="2" t="s">
        <v>46</v>
      </c>
      <c r="C350" s="2">
        <v>920</v>
      </c>
      <c r="D350" s="2">
        <v>2405172</v>
      </c>
      <c r="E350" s="2">
        <v>5670</v>
      </c>
      <c r="F350" s="2">
        <v>371239</v>
      </c>
      <c r="G350" s="2">
        <v>2172</v>
      </c>
      <c r="H350" s="2">
        <v>856084</v>
      </c>
      <c r="I350" s="2">
        <v>32901</v>
      </c>
      <c r="J350" s="13">
        <v>15</v>
      </c>
      <c r="K350" s="2">
        <v>19</v>
      </c>
      <c r="L350" s="2"/>
    </row>
    <row r="351" spans="1:12">
      <c r="A351" s="1" t="s">
        <v>914</v>
      </c>
      <c r="B351" s="2" t="s">
        <v>46</v>
      </c>
      <c r="C351" s="2">
        <v>920</v>
      </c>
      <c r="D351" s="2">
        <v>2716584</v>
      </c>
      <c r="E351" s="2">
        <v>5885</v>
      </c>
      <c r="F351" s="2">
        <v>481823</v>
      </c>
      <c r="G351" s="2">
        <v>2479</v>
      </c>
      <c r="H351" s="2">
        <v>943803</v>
      </c>
      <c r="I351" s="2">
        <v>28757</v>
      </c>
      <c r="J351" s="13">
        <v>17</v>
      </c>
      <c r="K351" s="2">
        <v>21</v>
      </c>
      <c r="L351" s="2"/>
    </row>
    <row r="352" spans="1:12">
      <c r="A352" s="1" t="s">
        <v>915</v>
      </c>
      <c r="B352" s="2" t="s">
        <v>46</v>
      </c>
      <c r="C352" s="2">
        <v>920</v>
      </c>
      <c r="D352" s="2">
        <v>1916586</v>
      </c>
      <c r="E352" s="2">
        <v>4940</v>
      </c>
      <c r="F352" s="2">
        <v>257380</v>
      </c>
      <c r="G352" s="2">
        <v>1811</v>
      </c>
      <c r="H352" s="2">
        <v>556598</v>
      </c>
      <c r="I352" s="2">
        <v>20237</v>
      </c>
      <c r="J352" s="13">
        <v>12</v>
      </c>
      <c r="K352" s="2">
        <v>20</v>
      </c>
      <c r="L352" s="2"/>
    </row>
    <row r="353" spans="1:12">
      <c r="A353" s="1" t="s">
        <v>916</v>
      </c>
      <c r="B353" s="2" t="s">
        <v>46</v>
      </c>
      <c r="C353" s="2">
        <v>920</v>
      </c>
      <c r="D353" s="2">
        <v>2080158</v>
      </c>
      <c r="E353" s="2">
        <v>5159</v>
      </c>
      <c r="F353" s="2">
        <v>321923</v>
      </c>
      <c r="G353" s="2">
        <v>2023</v>
      </c>
      <c r="H353" s="2">
        <v>799873</v>
      </c>
      <c r="I353" s="2">
        <v>21758</v>
      </c>
      <c r="J353" s="13">
        <v>14</v>
      </c>
      <c r="K353" s="2">
        <v>19</v>
      </c>
      <c r="L353" s="2"/>
    </row>
    <row r="354" spans="1:12">
      <c r="A354" s="1" t="s">
        <v>1208</v>
      </c>
      <c r="B354" s="2" t="s">
        <v>46</v>
      </c>
      <c r="C354" s="2">
        <v>920</v>
      </c>
      <c r="D354" s="2">
        <v>2539287</v>
      </c>
      <c r="E354" s="2">
        <v>5683</v>
      </c>
      <c r="F354" s="2">
        <v>610983</v>
      </c>
      <c r="G354" s="2">
        <v>2806</v>
      </c>
      <c r="H354" s="2">
        <v>560418</v>
      </c>
      <c r="I354" s="2">
        <v>29905</v>
      </c>
      <c r="J354" s="13">
        <v>20</v>
      </c>
      <c r="K354" s="2">
        <v>22</v>
      </c>
      <c r="L354" s="2"/>
    </row>
    <row r="355" spans="1:12">
      <c r="A355" s="1" t="s">
        <v>1209</v>
      </c>
      <c r="B355" s="2" t="s">
        <v>46</v>
      </c>
      <c r="C355" s="2">
        <v>920</v>
      </c>
      <c r="D355" s="2">
        <v>2704188</v>
      </c>
      <c r="E355" s="2">
        <v>5860</v>
      </c>
      <c r="F355" s="2">
        <v>476936</v>
      </c>
      <c r="G355" s="2">
        <v>2476</v>
      </c>
      <c r="H355" s="2">
        <v>1027023</v>
      </c>
      <c r="I355" s="2">
        <v>45044</v>
      </c>
      <c r="J355" s="13">
        <v>19</v>
      </c>
      <c r="K355" s="2">
        <v>20</v>
      </c>
      <c r="L355" s="2"/>
    </row>
    <row r="356" spans="1:12">
      <c r="A356" s="1" t="s">
        <v>1210</v>
      </c>
      <c r="B356" s="2" t="s">
        <v>46</v>
      </c>
      <c r="C356" s="2">
        <v>920</v>
      </c>
      <c r="D356" s="2">
        <v>2445147</v>
      </c>
      <c r="E356" s="2">
        <v>5590</v>
      </c>
      <c r="F356" s="2">
        <v>504755</v>
      </c>
      <c r="G356" s="2">
        <v>2538</v>
      </c>
      <c r="H356" s="2">
        <v>1001171</v>
      </c>
      <c r="I356" s="2">
        <v>35430</v>
      </c>
      <c r="J356" s="13">
        <v>19</v>
      </c>
      <c r="K356" s="2">
        <v>21</v>
      </c>
      <c r="L356" s="2"/>
    </row>
    <row r="357" spans="1:12">
      <c r="A357" s="1" t="s">
        <v>610</v>
      </c>
      <c r="B357" s="2" t="s">
        <v>46</v>
      </c>
      <c r="C357" s="2">
        <v>920</v>
      </c>
      <c r="D357" s="2">
        <v>1411323</v>
      </c>
      <c r="E357" s="2">
        <v>4306.6670000000004</v>
      </c>
      <c r="F357" s="2">
        <v>178887</v>
      </c>
      <c r="G357" s="2">
        <v>1624.5070000000001</v>
      </c>
      <c r="H357" s="2">
        <v>396706</v>
      </c>
      <c r="I357" s="2">
        <v>22393</v>
      </c>
      <c r="J357" s="13">
        <v>9</v>
      </c>
      <c r="K357" s="43">
        <v>18</v>
      </c>
      <c r="L357" s="2"/>
    </row>
    <row r="358" spans="1:12">
      <c r="A358" s="1" t="s">
        <v>611</v>
      </c>
      <c r="B358" s="2" t="s">
        <v>46</v>
      </c>
      <c r="C358" s="2">
        <v>920</v>
      </c>
      <c r="D358" s="2">
        <v>1386690</v>
      </c>
      <c r="E358" s="2">
        <v>4214.0540000000001</v>
      </c>
      <c r="F358" s="2">
        <v>131430</v>
      </c>
      <c r="G358" s="2">
        <v>1304.421</v>
      </c>
      <c r="H358" s="2">
        <v>0</v>
      </c>
      <c r="I358" s="2">
        <v>22300</v>
      </c>
      <c r="J358" s="13">
        <v>6</v>
      </c>
      <c r="K358" s="43">
        <v>18</v>
      </c>
      <c r="L358" s="2"/>
    </row>
    <row r="359" spans="1:12">
      <c r="A359" s="1" t="s">
        <v>612</v>
      </c>
      <c r="B359" s="2" t="s">
        <v>46</v>
      </c>
      <c r="C359" s="2">
        <v>920</v>
      </c>
      <c r="D359" s="2">
        <v>1920054</v>
      </c>
      <c r="E359" s="2">
        <v>4992.326</v>
      </c>
      <c r="F359" s="2">
        <v>203416</v>
      </c>
      <c r="G359" s="2">
        <v>1619.567</v>
      </c>
      <c r="H359" s="2">
        <v>643935</v>
      </c>
      <c r="I359" s="2">
        <v>25272</v>
      </c>
      <c r="J359" s="13">
        <v>6</v>
      </c>
      <c r="K359" s="43">
        <v>16.667000000000002</v>
      </c>
      <c r="L359" s="2"/>
    </row>
    <row r="360" spans="1:12">
      <c r="A360" s="1" t="s">
        <v>1211</v>
      </c>
      <c r="B360" s="2" t="s">
        <v>46</v>
      </c>
      <c r="C360" s="2">
        <v>920</v>
      </c>
      <c r="D360" s="2">
        <v>2447988</v>
      </c>
      <c r="E360" s="2">
        <v>5583</v>
      </c>
      <c r="F360" s="2">
        <v>511088</v>
      </c>
      <c r="G360" s="2">
        <v>2567</v>
      </c>
      <c r="H360" s="2">
        <v>757633</v>
      </c>
      <c r="I360" s="2">
        <v>21965</v>
      </c>
      <c r="J360" s="13">
        <v>18</v>
      </c>
      <c r="K360" s="2">
        <v>22</v>
      </c>
      <c r="L360" s="2"/>
    </row>
    <row r="361" spans="1:12">
      <c r="A361" s="1" t="s">
        <v>1212</v>
      </c>
      <c r="B361" s="2" t="s">
        <v>46</v>
      </c>
      <c r="C361" s="2">
        <v>920</v>
      </c>
      <c r="D361" s="2">
        <v>1630017</v>
      </c>
      <c r="E361" s="2">
        <v>4556</v>
      </c>
      <c r="F361" s="2">
        <v>210821</v>
      </c>
      <c r="G361" s="2">
        <v>1638</v>
      </c>
      <c r="H361" s="2">
        <v>526251</v>
      </c>
      <c r="I361" s="2">
        <v>20413</v>
      </c>
      <c r="J361" s="13">
        <v>13</v>
      </c>
      <c r="K361" s="2">
        <v>17</v>
      </c>
      <c r="L361" s="2"/>
    </row>
    <row r="362" spans="1:12">
      <c r="A362" s="1" t="s">
        <v>1213</v>
      </c>
      <c r="B362" s="2" t="s">
        <v>46</v>
      </c>
      <c r="C362" s="2">
        <v>920</v>
      </c>
      <c r="D362" s="2">
        <v>1379745</v>
      </c>
      <c r="E362" s="2">
        <v>4194</v>
      </c>
      <c r="F362" s="2">
        <v>229391</v>
      </c>
      <c r="G362" s="2">
        <v>1711</v>
      </c>
      <c r="H362" s="2">
        <v>373511</v>
      </c>
      <c r="I362" s="2">
        <v>20461</v>
      </c>
      <c r="J362" s="13">
        <v>15</v>
      </c>
      <c r="K362" s="2">
        <v>21</v>
      </c>
      <c r="L362" s="2"/>
    </row>
    <row r="363" spans="1:12">
      <c r="A363" s="1" t="s">
        <v>1214</v>
      </c>
      <c r="B363" s="2" t="s">
        <v>310</v>
      </c>
      <c r="C363" s="2">
        <v>500</v>
      </c>
      <c r="D363" s="2">
        <v>1064190</v>
      </c>
      <c r="E363" s="2">
        <v>3688</v>
      </c>
      <c r="F363" s="2">
        <v>235568</v>
      </c>
      <c r="G363" s="2">
        <v>1734</v>
      </c>
      <c r="H363" s="2">
        <v>378846</v>
      </c>
      <c r="I363" s="2">
        <v>10236</v>
      </c>
      <c r="J363" s="13">
        <v>24</v>
      </c>
      <c r="K363" s="2">
        <v>22</v>
      </c>
      <c r="L363" s="2"/>
    </row>
    <row r="364" spans="1:12">
      <c r="A364" s="1" t="s">
        <v>1215</v>
      </c>
      <c r="B364" s="2" t="s">
        <v>46</v>
      </c>
      <c r="C364" s="2">
        <v>920</v>
      </c>
      <c r="D364" s="2">
        <v>2116269</v>
      </c>
      <c r="E364" s="2">
        <v>5362</v>
      </c>
      <c r="F364" s="2">
        <v>262796</v>
      </c>
      <c r="G364" s="2">
        <v>1836</v>
      </c>
      <c r="H364" s="2">
        <v>52492</v>
      </c>
      <c r="I364" s="2">
        <v>24347</v>
      </c>
      <c r="J364" s="13">
        <v>14</v>
      </c>
      <c r="K364" s="2">
        <v>20</v>
      </c>
      <c r="L364" s="2"/>
    </row>
    <row r="365" spans="1:12">
      <c r="A365" s="1" t="s">
        <v>1216</v>
      </c>
      <c r="B365" s="2" t="s">
        <v>46</v>
      </c>
      <c r="C365" s="2">
        <v>920</v>
      </c>
      <c r="D365" s="2">
        <v>3509907</v>
      </c>
      <c r="E365" s="2">
        <v>6670</v>
      </c>
      <c r="F365" s="2">
        <v>612256</v>
      </c>
      <c r="G365" s="2">
        <v>2789</v>
      </c>
      <c r="H365" s="2">
        <v>1575377</v>
      </c>
      <c r="I365" s="2">
        <v>48352</v>
      </c>
      <c r="J365" s="13">
        <v>19</v>
      </c>
      <c r="K365" s="2">
        <v>23</v>
      </c>
      <c r="L365" s="2"/>
    </row>
    <row r="366" spans="1:12">
      <c r="A366" s="1" t="s">
        <v>613</v>
      </c>
      <c r="B366" s="2" t="s">
        <v>46</v>
      </c>
      <c r="C366" s="2">
        <v>920</v>
      </c>
      <c r="D366" s="2">
        <v>2367900</v>
      </c>
      <c r="E366" s="2">
        <v>5488.0680000000002</v>
      </c>
      <c r="F366" s="2">
        <v>443406</v>
      </c>
      <c r="G366" s="2">
        <v>2394.799</v>
      </c>
      <c r="H366" s="2">
        <v>804221</v>
      </c>
      <c r="I366" s="2">
        <v>22591</v>
      </c>
      <c r="J366" s="13">
        <v>17</v>
      </c>
      <c r="K366" s="43">
        <v>21.5</v>
      </c>
      <c r="L366" s="2"/>
    </row>
    <row r="367" spans="1:12">
      <c r="A367" s="1" t="s">
        <v>614</v>
      </c>
      <c r="B367" s="2" t="s">
        <v>46</v>
      </c>
      <c r="C367" s="2">
        <v>920</v>
      </c>
      <c r="D367" s="2">
        <v>2707941</v>
      </c>
      <c r="E367" s="2">
        <v>5934.0439999999999</v>
      </c>
      <c r="F367" s="2">
        <v>274738</v>
      </c>
      <c r="G367" s="2">
        <v>1878.933</v>
      </c>
      <c r="H367" s="2">
        <v>207024</v>
      </c>
      <c r="I367" s="2">
        <v>33457</v>
      </c>
      <c r="J367" s="13">
        <v>14</v>
      </c>
      <c r="K367" s="43">
        <v>20.25</v>
      </c>
      <c r="L367" s="2"/>
    </row>
    <row r="368" spans="1:12">
      <c r="A368" s="1" t="s">
        <v>615</v>
      </c>
      <c r="B368" s="2" t="s">
        <v>46</v>
      </c>
      <c r="C368" s="2">
        <v>920</v>
      </c>
      <c r="D368" s="2">
        <v>2227965</v>
      </c>
      <c r="E368" s="2">
        <v>5351.0860000000002</v>
      </c>
      <c r="F368" s="2">
        <v>298437</v>
      </c>
      <c r="G368" s="2">
        <v>1952.549</v>
      </c>
      <c r="H368" s="2">
        <v>939896</v>
      </c>
      <c r="I368" s="2">
        <v>30517</v>
      </c>
      <c r="J368" s="13">
        <v>14</v>
      </c>
      <c r="K368" s="43">
        <v>19</v>
      </c>
      <c r="L368" s="2"/>
    </row>
    <row r="369" spans="1:12">
      <c r="A369" s="1" t="s">
        <v>917</v>
      </c>
      <c r="B369" s="2" t="s">
        <v>46</v>
      </c>
      <c r="C369" s="2">
        <v>920</v>
      </c>
      <c r="D369" s="2">
        <v>2849301</v>
      </c>
      <c r="E369" s="2">
        <v>6036</v>
      </c>
      <c r="F369" s="2">
        <v>582708</v>
      </c>
      <c r="G369" s="2">
        <v>2725</v>
      </c>
      <c r="H369" s="2">
        <v>1171464</v>
      </c>
      <c r="I369" s="2">
        <v>32448</v>
      </c>
      <c r="J369" s="13">
        <v>17</v>
      </c>
      <c r="K369" s="2">
        <v>20</v>
      </c>
      <c r="L369" s="2"/>
    </row>
    <row r="370" spans="1:12">
      <c r="A370" s="1" t="s">
        <v>918</v>
      </c>
      <c r="B370" s="2" t="s">
        <v>46</v>
      </c>
      <c r="C370" s="2">
        <v>920</v>
      </c>
      <c r="D370" s="2">
        <v>2314818</v>
      </c>
      <c r="E370" s="2">
        <v>5556</v>
      </c>
      <c r="F370" s="2">
        <v>280515</v>
      </c>
      <c r="G370" s="2">
        <v>1896</v>
      </c>
      <c r="H370" s="2">
        <v>465442</v>
      </c>
      <c r="I370" s="2">
        <v>27516</v>
      </c>
      <c r="J370" s="13">
        <v>13</v>
      </c>
      <c r="K370" s="2">
        <v>20</v>
      </c>
      <c r="L370" s="2"/>
    </row>
    <row r="371" spans="1:12">
      <c r="A371" s="1" t="s">
        <v>919</v>
      </c>
      <c r="B371" s="2" t="s">
        <v>46</v>
      </c>
      <c r="C371" s="2">
        <v>920</v>
      </c>
      <c r="D371" s="2">
        <v>2710122</v>
      </c>
      <c r="E371" s="2">
        <v>5875</v>
      </c>
      <c r="F371" s="2">
        <v>396331</v>
      </c>
      <c r="G371" s="2">
        <v>2243</v>
      </c>
      <c r="H371" s="2">
        <v>1031701</v>
      </c>
      <c r="I371" s="2">
        <v>34627</v>
      </c>
      <c r="J371" s="13">
        <v>14</v>
      </c>
      <c r="K371" s="2">
        <v>21</v>
      </c>
      <c r="L371" s="2"/>
    </row>
    <row r="372" spans="1:12">
      <c r="A372" s="1" t="s">
        <v>616</v>
      </c>
      <c r="B372" s="2" t="s">
        <v>46</v>
      </c>
      <c r="C372" s="2">
        <v>920</v>
      </c>
      <c r="D372" s="2">
        <v>2880045</v>
      </c>
      <c r="E372" s="2">
        <v>6088.8760000000002</v>
      </c>
      <c r="F372" s="2">
        <v>547160</v>
      </c>
      <c r="G372" s="2">
        <v>2645.252</v>
      </c>
      <c r="H372" s="2">
        <v>1084403</v>
      </c>
      <c r="I372" s="2">
        <v>26700</v>
      </c>
      <c r="J372" s="13">
        <v>15</v>
      </c>
      <c r="K372" s="43">
        <v>20</v>
      </c>
      <c r="L372" s="2"/>
    </row>
    <row r="373" spans="1:12">
      <c r="A373" s="1" t="s">
        <v>617</v>
      </c>
      <c r="B373" s="2" t="s">
        <v>46</v>
      </c>
      <c r="C373" s="2">
        <v>920</v>
      </c>
      <c r="D373" s="2">
        <v>1970637</v>
      </c>
      <c r="E373" s="2">
        <v>5041.5510000000004</v>
      </c>
      <c r="F373" s="2">
        <v>236408</v>
      </c>
      <c r="G373" s="2">
        <v>1740.04</v>
      </c>
      <c r="H373" s="2">
        <v>8772</v>
      </c>
      <c r="I373" s="2">
        <v>22469</v>
      </c>
      <c r="J373" s="13">
        <v>13</v>
      </c>
      <c r="K373" s="43">
        <v>20.75</v>
      </c>
      <c r="L373" s="2"/>
    </row>
    <row r="374" spans="1:12">
      <c r="A374" s="1" t="s">
        <v>618</v>
      </c>
      <c r="B374" s="2" t="s">
        <v>46</v>
      </c>
      <c r="C374" s="2">
        <v>920</v>
      </c>
      <c r="D374" s="2">
        <v>2372601</v>
      </c>
      <c r="E374" s="2">
        <v>5801.0959999999995</v>
      </c>
      <c r="F374" s="2">
        <v>348777</v>
      </c>
      <c r="G374" s="2">
        <v>2109.2199999999998</v>
      </c>
      <c r="H374" s="2">
        <v>797101</v>
      </c>
      <c r="I374" s="2">
        <v>22651</v>
      </c>
      <c r="J374" s="13">
        <v>14</v>
      </c>
      <c r="K374" s="43">
        <v>20</v>
      </c>
      <c r="L374" s="2"/>
    </row>
    <row r="375" spans="1:12">
      <c r="A375" s="1" t="s">
        <v>920</v>
      </c>
      <c r="B375" s="2" t="s">
        <v>46</v>
      </c>
      <c r="C375" s="2">
        <v>920</v>
      </c>
      <c r="D375" s="2">
        <v>3132891</v>
      </c>
      <c r="E375" s="2">
        <v>6356</v>
      </c>
      <c r="F375" s="2">
        <v>444315</v>
      </c>
      <c r="G375" s="2">
        <v>2380</v>
      </c>
      <c r="H375" s="2">
        <v>1062900</v>
      </c>
      <c r="I375" s="2">
        <v>29067</v>
      </c>
      <c r="J375" s="13">
        <v>15</v>
      </c>
      <c r="K375" s="2">
        <v>19</v>
      </c>
      <c r="L375" s="2"/>
    </row>
    <row r="376" spans="1:12">
      <c r="A376" s="1" t="s">
        <v>921</v>
      </c>
      <c r="B376" s="2" t="s">
        <v>46</v>
      </c>
      <c r="C376" s="2">
        <v>920</v>
      </c>
      <c r="D376" s="2">
        <v>2872575</v>
      </c>
      <c r="E376" s="2">
        <v>6089</v>
      </c>
      <c r="F376" s="2">
        <v>348438</v>
      </c>
      <c r="G376" s="2">
        <v>2115</v>
      </c>
      <c r="H376" s="2">
        <v>1024208</v>
      </c>
      <c r="I376" s="2">
        <v>28979</v>
      </c>
      <c r="J376" s="13">
        <v>11</v>
      </c>
      <c r="K376" s="2">
        <v>23</v>
      </c>
      <c r="L376" s="2"/>
    </row>
    <row r="377" spans="1:12">
      <c r="A377" s="1" t="s">
        <v>922</v>
      </c>
      <c r="B377" s="2" t="s">
        <v>46</v>
      </c>
      <c r="C377" s="2">
        <v>920</v>
      </c>
      <c r="D377" s="2">
        <v>2600823</v>
      </c>
      <c r="E377" s="2">
        <v>5758</v>
      </c>
      <c r="F377" s="2">
        <v>336001</v>
      </c>
      <c r="G377" s="2">
        <v>2072</v>
      </c>
      <c r="H377" s="2">
        <v>1040650</v>
      </c>
      <c r="I377" s="2">
        <v>26930</v>
      </c>
      <c r="J377" s="13">
        <v>12</v>
      </c>
      <c r="K377" s="2">
        <v>20</v>
      </c>
      <c r="L377" s="2"/>
    </row>
    <row r="378" spans="1:12">
      <c r="A378" s="1" t="s">
        <v>923</v>
      </c>
      <c r="B378" s="2" t="s">
        <v>46</v>
      </c>
      <c r="C378" s="2">
        <v>920</v>
      </c>
      <c r="D378" s="2">
        <v>2620692</v>
      </c>
      <c r="E378" s="2">
        <v>5777</v>
      </c>
      <c r="F378" s="2">
        <v>454082</v>
      </c>
      <c r="G378" s="2">
        <v>2401</v>
      </c>
      <c r="H378" s="2">
        <v>919676</v>
      </c>
      <c r="I378" s="2">
        <v>28987</v>
      </c>
      <c r="J378" s="13">
        <v>17</v>
      </c>
      <c r="K378" s="2">
        <v>21</v>
      </c>
      <c r="L378" s="2"/>
    </row>
    <row r="379" spans="1:12">
      <c r="A379" s="1" t="s">
        <v>924</v>
      </c>
      <c r="B379" s="2" t="s">
        <v>46</v>
      </c>
      <c r="C379" s="2">
        <v>920</v>
      </c>
      <c r="D379" s="2">
        <v>2390673</v>
      </c>
      <c r="E379" s="2">
        <v>5513</v>
      </c>
      <c r="F379" s="2">
        <v>310246</v>
      </c>
      <c r="G379" s="2">
        <v>1989</v>
      </c>
      <c r="H379" s="2">
        <v>279074</v>
      </c>
      <c r="I379" s="2">
        <v>25021</v>
      </c>
      <c r="J379" s="13">
        <v>12</v>
      </c>
      <c r="K379" s="2">
        <v>20</v>
      </c>
      <c r="L379" s="2"/>
    </row>
    <row r="380" spans="1:12">
      <c r="A380" s="1" t="s">
        <v>925</v>
      </c>
      <c r="B380" s="2" t="s">
        <v>46</v>
      </c>
      <c r="C380" s="2">
        <v>920</v>
      </c>
      <c r="D380" s="2">
        <v>2743170</v>
      </c>
      <c r="E380" s="2">
        <v>5925</v>
      </c>
      <c r="F380" s="2">
        <v>424217</v>
      </c>
      <c r="G380" s="2">
        <v>2325</v>
      </c>
      <c r="H380" s="2">
        <v>1248279</v>
      </c>
      <c r="I380" s="2">
        <v>28943</v>
      </c>
      <c r="J380" s="13">
        <v>13</v>
      </c>
      <c r="K380" s="2">
        <v>18</v>
      </c>
      <c r="L380" s="2"/>
    </row>
    <row r="381" spans="1:12">
      <c r="A381" s="1" t="s">
        <v>472</v>
      </c>
      <c r="B381" s="2" t="s">
        <v>310</v>
      </c>
      <c r="C381" s="2">
        <v>500</v>
      </c>
      <c r="D381" s="2">
        <v>945096</v>
      </c>
      <c r="E381" s="2">
        <v>3469</v>
      </c>
      <c r="F381" s="2">
        <v>198410</v>
      </c>
      <c r="G381" s="2">
        <v>1593</v>
      </c>
      <c r="H381" s="2">
        <v>405156</v>
      </c>
      <c r="I381" s="2">
        <v>9816</v>
      </c>
      <c r="J381" s="13">
        <v>22</v>
      </c>
      <c r="K381" s="43">
        <v>22</v>
      </c>
      <c r="L381" s="2"/>
    </row>
    <row r="382" spans="1:12">
      <c r="A382" s="1" t="s">
        <v>453</v>
      </c>
      <c r="B382" s="2" t="s">
        <v>46</v>
      </c>
      <c r="C382" s="2">
        <v>920</v>
      </c>
      <c r="D382" s="2">
        <v>1907496</v>
      </c>
      <c r="E382" s="2">
        <v>5178</v>
      </c>
      <c r="F382" s="2">
        <v>296508</v>
      </c>
      <c r="G382" s="2">
        <v>1950</v>
      </c>
      <c r="H382" s="2">
        <v>18689</v>
      </c>
      <c r="I382" s="2">
        <v>25884</v>
      </c>
      <c r="J382" s="13">
        <v>14</v>
      </c>
      <c r="K382" s="43">
        <v>20</v>
      </c>
      <c r="L382" s="2"/>
    </row>
    <row r="383" spans="1:12">
      <c r="A383" s="1" t="s">
        <v>454</v>
      </c>
      <c r="B383" s="2" t="s">
        <v>46</v>
      </c>
      <c r="C383" s="2">
        <v>920</v>
      </c>
      <c r="D383" s="2">
        <v>2913534</v>
      </c>
      <c r="E383" s="2">
        <v>6107</v>
      </c>
      <c r="F383" s="2">
        <v>455186</v>
      </c>
      <c r="G383" s="2">
        <v>2411</v>
      </c>
      <c r="H383" s="2">
        <v>1287590</v>
      </c>
      <c r="I383" s="2">
        <v>31320</v>
      </c>
      <c r="J383" s="13">
        <v>18</v>
      </c>
      <c r="K383" s="43">
        <v>22</v>
      </c>
      <c r="L383" s="2"/>
    </row>
    <row r="384" spans="1:12">
      <c r="A384" s="1" t="s">
        <v>926</v>
      </c>
      <c r="B384" s="2" t="s">
        <v>310</v>
      </c>
      <c r="C384" s="2">
        <v>500</v>
      </c>
      <c r="D384" s="2">
        <v>961623</v>
      </c>
      <c r="E384" s="2">
        <v>3500</v>
      </c>
      <c r="F384" s="2">
        <v>215251</v>
      </c>
      <c r="G384" s="2">
        <v>1661</v>
      </c>
      <c r="H384" s="2">
        <v>244501</v>
      </c>
      <c r="I384" s="2">
        <v>8715</v>
      </c>
      <c r="J384" s="13">
        <v>20</v>
      </c>
      <c r="K384" s="2">
        <v>22</v>
      </c>
      <c r="L384" s="2"/>
    </row>
    <row r="385" spans="1:12">
      <c r="A385" s="1" t="s">
        <v>927</v>
      </c>
      <c r="B385" s="2" t="s">
        <v>46</v>
      </c>
      <c r="C385" s="2">
        <v>920</v>
      </c>
      <c r="D385" s="2">
        <v>2674950</v>
      </c>
      <c r="E385" s="2">
        <v>5882</v>
      </c>
      <c r="F385" s="2">
        <v>374452</v>
      </c>
      <c r="G385" s="2">
        <v>2198</v>
      </c>
      <c r="H385" s="2">
        <v>1027509</v>
      </c>
      <c r="I385" s="2">
        <v>38537</v>
      </c>
      <c r="J385" s="13">
        <v>15</v>
      </c>
      <c r="K385" s="2">
        <v>21</v>
      </c>
      <c r="L385" s="2"/>
    </row>
    <row r="386" spans="1:12">
      <c r="A386" s="1" t="s">
        <v>928</v>
      </c>
      <c r="B386" s="2" t="s">
        <v>46</v>
      </c>
      <c r="C386" s="2">
        <v>920</v>
      </c>
      <c r="D386" s="2">
        <v>2787828</v>
      </c>
      <c r="E386" s="2">
        <v>6035</v>
      </c>
      <c r="F386" s="2">
        <v>483297</v>
      </c>
      <c r="G386" s="2">
        <v>2480</v>
      </c>
      <c r="H386" s="2">
        <v>1277157</v>
      </c>
      <c r="I386" s="2">
        <v>33525</v>
      </c>
      <c r="J386" s="13">
        <v>18</v>
      </c>
      <c r="K386" s="2">
        <v>21</v>
      </c>
      <c r="L386" s="2"/>
    </row>
    <row r="387" spans="1:12">
      <c r="A387" s="1" t="s">
        <v>1217</v>
      </c>
      <c r="B387" s="2" t="s">
        <v>46</v>
      </c>
      <c r="C387" s="2">
        <v>920</v>
      </c>
      <c r="D387" s="2">
        <v>936810</v>
      </c>
      <c r="E387" s="2">
        <v>3467</v>
      </c>
      <c r="F387" s="2">
        <v>171575</v>
      </c>
      <c r="G387" s="2">
        <v>1483</v>
      </c>
      <c r="H387" s="2">
        <v>218245</v>
      </c>
      <c r="I387" s="2">
        <v>24988</v>
      </c>
      <c r="J387" s="13">
        <v>13</v>
      </c>
      <c r="K387" s="2">
        <v>13</v>
      </c>
      <c r="L387" s="2"/>
    </row>
    <row r="388" spans="1:12">
      <c r="A388" s="1" t="s">
        <v>1218</v>
      </c>
      <c r="B388" s="2" t="s">
        <v>46</v>
      </c>
      <c r="C388" s="2">
        <v>920</v>
      </c>
      <c r="D388" s="2">
        <v>971862</v>
      </c>
      <c r="E388" s="2">
        <v>3527</v>
      </c>
      <c r="F388" s="2">
        <v>161915</v>
      </c>
      <c r="G388" s="2">
        <v>1440</v>
      </c>
      <c r="H388" s="2">
        <v>233829</v>
      </c>
      <c r="I388" s="2">
        <v>25304</v>
      </c>
      <c r="J388" s="13">
        <v>8</v>
      </c>
      <c r="K388" s="2">
        <v>12</v>
      </c>
      <c r="L388" s="2"/>
    </row>
    <row r="389" spans="1:12">
      <c r="A389" s="1" t="s">
        <v>1219</v>
      </c>
      <c r="B389" s="2" t="s">
        <v>46</v>
      </c>
      <c r="C389" s="2">
        <v>920</v>
      </c>
      <c r="D389" s="2">
        <v>849813</v>
      </c>
      <c r="E389" s="2">
        <v>3319</v>
      </c>
      <c r="F389" s="2">
        <v>152918</v>
      </c>
      <c r="G389" s="2">
        <v>1409</v>
      </c>
      <c r="H389" s="2">
        <v>264445</v>
      </c>
      <c r="I389" s="2">
        <v>26299</v>
      </c>
      <c r="J389" s="13">
        <v>9</v>
      </c>
      <c r="K389" s="2">
        <v>10</v>
      </c>
      <c r="L389" s="2"/>
    </row>
    <row r="390" spans="1:12">
      <c r="A390" s="1" t="s">
        <v>1220</v>
      </c>
      <c r="B390" s="2" t="s">
        <v>46</v>
      </c>
      <c r="C390" s="2">
        <v>920</v>
      </c>
      <c r="D390" s="2">
        <v>2546764</v>
      </c>
      <c r="E390" s="2">
        <v>5719</v>
      </c>
      <c r="F390" s="2">
        <v>546830</v>
      </c>
      <c r="G390" s="2">
        <v>2655</v>
      </c>
      <c r="H390" s="2">
        <v>753148</v>
      </c>
      <c r="I390" s="2">
        <v>46789</v>
      </c>
      <c r="J390" s="13">
        <v>18</v>
      </c>
      <c r="K390" s="2">
        <v>20</v>
      </c>
      <c r="L390" s="2"/>
    </row>
    <row r="391" spans="1:12">
      <c r="A391" s="1" t="s">
        <v>1221</v>
      </c>
      <c r="B391" s="2" t="s">
        <v>46</v>
      </c>
      <c r="C391" s="2">
        <v>920</v>
      </c>
      <c r="D391" s="2">
        <v>3228210</v>
      </c>
      <c r="E391" s="2">
        <v>6425</v>
      </c>
      <c r="F391" s="2">
        <v>646527</v>
      </c>
      <c r="G391" s="2">
        <v>2895</v>
      </c>
      <c r="H391" s="2">
        <v>314659</v>
      </c>
      <c r="I391" s="2">
        <v>72621</v>
      </c>
      <c r="J391" s="13">
        <v>14</v>
      </c>
      <c r="K391" s="2">
        <v>16</v>
      </c>
      <c r="L391" s="2"/>
    </row>
    <row r="392" spans="1:12">
      <c r="A392" s="1" t="s">
        <v>1222</v>
      </c>
      <c r="B392" s="2" t="s">
        <v>46</v>
      </c>
      <c r="C392" s="2">
        <v>920</v>
      </c>
      <c r="D392" s="2">
        <v>2587320</v>
      </c>
      <c r="E392" s="2">
        <v>5772</v>
      </c>
      <c r="F392" s="2">
        <v>545396</v>
      </c>
      <c r="G392" s="2">
        <v>2661</v>
      </c>
      <c r="H392" s="2">
        <v>940815</v>
      </c>
      <c r="I392" s="2">
        <v>74233</v>
      </c>
      <c r="J392" s="13">
        <v>16</v>
      </c>
      <c r="K392" s="2">
        <v>15</v>
      </c>
      <c r="L392" s="2"/>
    </row>
    <row r="393" spans="1:12">
      <c r="A393" s="1" t="s">
        <v>929</v>
      </c>
      <c r="B393" s="2" t="s">
        <v>46</v>
      </c>
      <c r="C393" s="2">
        <v>920</v>
      </c>
      <c r="D393" s="2">
        <v>3331644</v>
      </c>
      <c r="E393" s="2">
        <v>6498</v>
      </c>
      <c r="F393" s="2">
        <v>711374</v>
      </c>
      <c r="G393" s="2">
        <v>3021</v>
      </c>
      <c r="H393" s="2">
        <v>603264</v>
      </c>
      <c r="I393" s="2">
        <v>53808</v>
      </c>
      <c r="J393" s="13">
        <v>19</v>
      </c>
      <c r="K393" s="2">
        <v>21</v>
      </c>
      <c r="L393" s="2"/>
    </row>
    <row r="394" spans="1:12">
      <c r="A394" s="1" t="s">
        <v>930</v>
      </c>
      <c r="B394" s="2" t="s">
        <v>46</v>
      </c>
      <c r="C394" s="2">
        <v>920</v>
      </c>
      <c r="D394" s="2">
        <v>2632827</v>
      </c>
      <c r="E394" s="2">
        <v>5799</v>
      </c>
      <c r="F394" s="2">
        <v>543290</v>
      </c>
      <c r="G394" s="2">
        <v>2632</v>
      </c>
      <c r="H394" s="2">
        <v>85872</v>
      </c>
      <c r="I394" s="2">
        <v>52124</v>
      </c>
      <c r="J394" s="13">
        <v>15</v>
      </c>
      <c r="K394" s="2">
        <v>16</v>
      </c>
      <c r="L394" s="2"/>
    </row>
    <row r="395" spans="1:12">
      <c r="A395" s="1" t="s">
        <v>931</v>
      </c>
      <c r="B395" s="2" t="s">
        <v>46</v>
      </c>
      <c r="C395" s="2">
        <v>920</v>
      </c>
      <c r="D395" s="2">
        <v>3227241</v>
      </c>
      <c r="E395" s="2">
        <v>6467</v>
      </c>
      <c r="F395" s="2">
        <v>659512</v>
      </c>
      <c r="G395" s="2">
        <v>2904</v>
      </c>
      <c r="H395" s="2">
        <v>1001398</v>
      </c>
      <c r="I395" s="2">
        <v>66236</v>
      </c>
      <c r="J395" s="13">
        <v>17</v>
      </c>
      <c r="K395" s="2">
        <v>17</v>
      </c>
      <c r="L395" s="2"/>
    </row>
    <row r="396" spans="1:12">
      <c r="A396" s="1" t="s">
        <v>1223</v>
      </c>
      <c r="B396" s="2" t="s">
        <v>46</v>
      </c>
      <c r="C396" s="2">
        <v>920</v>
      </c>
      <c r="D396" s="2">
        <v>2331033</v>
      </c>
      <c r="E396" s="2">
        <v>5481</v>
      </c>
      <c r="F396" s="2">
        <v>517054</v>
      </c>
      <c r="G396" s="2">
        <v>2598</v>
      </c>
      <c r="H396" s="2">
        <v>599392</v>
      </c>
      <c r="I396" s="2">
        <v>40757</v>
      </c>
      <c r="J396" s="13">
        <v>16</v>
      </c>
      <c r="K396" s="2">
        <v>19</v>
      </c>
      <c r="L396" s="2"/>
    </row>
    <row r="397" spans="1:12">
      <c r="A397" s="1" t="s">
        <v>1224</v>
      </c>
      <c r="B397" s="2" t="s">
        <v>46</v>
      </c>
      <c r="C397" s="2">
        <v>920</v>
      </c>
      <c r="D397" s="2">
        <v>2561187</v>
      </c>
      <c r="E397" s="2">
        <v>5835</v>
      </c>
      <c r="F397" s="2">
        <v>509720</v>
      </c>
      <c r="G397" s="2">
        <v>2575</v>
      </c>
      <c r="H397" s="2">
        <v>203764</v>
      </c>
      <c r="I397" s="2">
        <v>54556</v>
      </c>
      <c r="J397" s="13">
        <v>14</v>
      </c>
      <c r="K397" s="2">
        <v>17</v>
      </c>
      <c r="L397" s="2"/>
    </row>
    <row r="398" spans="1:12">
      <c r="A398" s="1" t="s">
        <v>1225</v>
      </c>
      <c r="B398" s="2" t="s">
        <v>46</v>
      </c>
      <c r="C398" s="2">
        <v>920</v>
      </c>
      <c r="D398" s="2">
        <v>2066262</v>
      </c>
      <c r="E398" s="2">
        <v>5359</v>
      </c>
      <c r="F398" s="2">
        <v>502553</v>
      </c>
      <c r="G398" s="2">
        <v>2536</v>
      </c>
      <c r="H398" s="2">
        <v>628859</v>
      </c>
      <c r="I398" s="2">
        <v>56561</v>
      </c>
      <c r="J398" s="13">
        <v>15</v>
      </c>
      <c r="K398" s="2">
        <v>15</v>
      </c>
      <c r="L398" s="2"/>
    </row>
    <row r="399" spans="1:12">
      <c r="A399" s="1" t="s">
        <v>1226</v>
      </c>
      <c r="B399" s="2" t="s">
        <v>46</v>
      </c>
      <c r="C399" s="2">
        <v>920</v>
      </c>
      <c r="D399" s="2">
        <v>3622689</v>
      </c>
      <c r="E399" s="2">
        <v>6847</v>
      </c>
      <c r="F399" s="2">
        <v>807906</v>
      </c>
      <c r="G399" s="2">
        <v>3254</v>
      </c>
      <c r="H399" s="2">
        <v>1149131</v>
      </c>
      <c r="I399" s="2">
        <v>54964</v>
      </c>
      <c r="J399" s="13">
        <v>22</v>
      </c>
      <c r="K399" s="2">
        <v>21</v>
      </c>
      <c r="L399" s="2"/>
    </row>
    <row r="400" spans="1:12">
      <c r="A400" s="1" t="s">
        <v>1227</v>
      </c>
      <c r="B400" s="2" t="s">
        <v>310</v>
      </c>
      <c r="C400" s="2">
        <v>500</v>
      </c>
      <c r="D400" s="2">
        <v>1059466</v>
      </c>
      <c r="E400" s="2">
        <v>3768</v>
      </c>
      <c r="F400" s="2">
        <v>161096</v>
      </c>
      <c r="G400" s="2">
        <v>1461</v>
      </c>
      <c r="H400" s="2">
        <v>55861</v>
      </c>
      <c r="I400" s="2">
        <v>13254</v>
      </c>
      <c r="J400" s="13">
        <v>18</v>
      </c>
      <c r="K400" s="2" t="s">
        <v>287</v>
      </c>
      <c r="L400" s="2"/>
    </row>
    <row r="401" spans="1:12">
      <c r="A401" s="1" t="s">
        <v>1228</v>
      </c>
      <c r="B401" s="2" t="s">
        <v>46</v>
      </c>
      <c r="C401" s="2">
        <v>920</v>
      </c>
      <c r="D401" s="2">
        <v>2935662</v>
      </c>
      <c r="E401" s="2">
        <v>6394</v>
      </c>
      <c r="F401" s="2">
        <v>645499</v>
      </c>
      <c r="G401" s="2">
        <v>2885</v>
      </c>
      <c r="H401" s="2">
        <v>1117960</v>
      </c>
      <c r="I401" s="2">
        <v>68446</v>
      </c>
      <c r="J401" s="13">
        <v>18</v>
      </c>
      <c r="K401" s="2">
        <v>17</v>
      </c>
      <c r="L401" s="2"/>
    </row>
    <row r="402" spans="1:12">
      <c r="A402" s="1" t="s">
        <v>455</v>
      </c>
      <c r="B402" s="2" t="s">
        <v>46</v>
      </c>
      <c r="C402" s="2">
        <v>920</v>
      </c>
      <c r="D402" s="2">
        <v>2307423</v>
      </c>
      <c r="E402" s="2">
        <v>5464</v>
      </c>
      <c r="F402" s="2">
        <v>442240</v>
      </c>
      <c r="G402" s="2">
        <v>2379</v>
      </c>
      <c r="H402" s="2">
        <v>569468</v>
      </c>
      <c r="I402" s="2">
        <v>51038</v>
      </c>
      <c r="J402" s="13">
        <v>12</v>
      </c>
      <c r="K402" s="43">
        <v>18</v>
      </c>
      <c r="L402" s="2"/>
    </row>
    <row r="403" spans="1:12">
      <c r="A403" s="1" t="s">
        <v>456</v>
      </c>
      <c r="B403" s="2" t="s">
        <v>46</v>
      </c>
      <c r="C403" s="2">
        <v>920</v>
      </c>
      <c r="D403" s="2">
        <v>2400951</v>
      </c>
      <c r="E403" s="2">
        <v>5591</v>
      </c>
      <c r="F403" s="2">
        <v>403757</v>
      </c>
      <c r="G403" s="2">
        <v>2278</v>
      </c>
      <c r="H403" s="2">
        <v>0</v>
      </c>
      <c r="I403" s="2">
        <v>61557</v>
      </c>
      <c r="J403" s="13">
        <v>11</v>
      </c>
      <c r="K403" s="43">
        <v>16</v>
      </c>
      <c r="L403" s="2"/>
    </row>
    <row r="404" spans="1:12">
      <c r="A404" s="1" t="s">
        <v>457</v>
      </c>
      <c r="B404" s="2" t="s">
        <v>46</v>
      </c>
      <c r="C404" s="2">
        <v>920</v>
      </c>
      <c r="D404" s="2">
        <v>2297028</v>
      </c>
      <c r="E404" s="2">
        <v>5421</v>
      </c>
      <c r="F404" s="2">
        <v>385102</v>
      </c>
      <c r="G404" s="2">
        <v>2224</v>
      </c>
      <c r="H404" s="2">
        <v>125198</v>
      </c>
      <c r="I404" s="2">
        <v>49856</v>
      </c>
      <c r="J404" s="13">
        <v>11</v>
      </c>
      <c r="K404" s="43">
        <v>16</v>
      </c>
      <c r="L404" s="2"/>
    </row>
    <row r="405" spans="1:12">
      <c r="A405" s="1" t="s">
        <v>932</v>
      </c>
      <c r="B405" s="2" t="s">
        <v>46</v>
      </c>
      <c r="C405" s="2">
        <v>920</v>
      </c>
      <c r="D405" s="2">
        <v>2105904</v>
      </c>
      <c r="E405" s="2">
        <v>5320</v>
      </c>
      <c r="F405" s="2">
        <v>430338</v>
      </c>
      <c r="G405" s="2">
        <v>2341</v>
      </c>
      <c r="H405" s="2">
        <v>664873</v>
      </c>
      <c r="I405" s="2">
        <v>50989</v>
      </c>
      <c r="J405" s="13">
        <v>14</v>
      </c>
      <c r="K405" s="2">
        <v>16</v>
      </c>
      <c r="L405" s="2"/>
    </row>
    <row r="406" spans="1:12">
      <c r="A406" s="1" t="s">
        <v>933</v>
      </c>
      <c r="B406" s="2" t="s">
        <v>46</v>
      </c>
      <c r="C406" s="2">
        <v>920</v>
      </c>
      <c r="D406" s="2">
        <v>1794096</v>
      </c>
      <c r="E406" s="2">
        <v>4832</v>
      </c>
      <c r="F406" s="2">
        <v>321283</v>
      </c>
      <c r="G406" s="2">
        <v>2062</v>
      </c>
      <c r="H406" s="2">
        <v>0</v>
      </c>
      <c r="I406" s="2">
        <v>41946</v>
      </c>
      <c r="J406" s="13">
        <v>13</v>
      </c>
      <c r="K406" s="2">
        <v>15</v>
      </c>
      <c r="L406" s="2"/>
    </row>
    <row r="407" spans="1:12">
      <c r="A407" s="1" t="s">
        <v>934</v>
      </c>
      <c r="B407" s="2" t="s">
        <v>46</v>
      </c>
      <c r="C407" s="2">
        <v>920</v>
      </c>
      <c r="D407" s="2">
        <v>2001537</v>
      </c>
      <c r="E407" s="2">
        <v>5103</v>
      </c>
      <c r="F407" s="2">
        <v>435218</v>
      </c>
      <c r="G407" s="2">
        <v>2353</v>
      </c>
      <c r="H407" s="2">
        <v>653058</v>
      </c>
      <c r="I407" s="2">
        <v>59048</v>
      </c>
      <c r="J407" s="13">
        <v>15</v>
      </c>
      <c r="K407" s="2">
        <v>15</v>
      </c>
      <c r="L407" s="2"/>
    </row>
    <row r="408" spans="1:12">
      <c r="A408" s="1" t="s">
        <v>935</v>
      </c>
      <c r="B408" s="2" t="s">
        <v>46</v>
      </c>
      <c r="C408" s="2">
        <v>920</v>
      </c>
      <c r="D408" s="2">
        <v>2796963</v>
      </c>
      <c r="E408" s="2">
        <v>6069</v>
      </c>
      <c r="F408" s="2">
        <v>612995</v>
      </c>
      <c r="G408" s="2">
        <v>2799</v>
      </c>
      <c r="H408" s="2">
        <v>995987</v>
      </c>
      <c r="I408" s="2">
        <v>47623</v>
      </c>
      <c r="J408" s="13">
        <v>15</v>
      </c>
      <c r="K408" s="2">
        <v>19</v>
      </c>
      <c r="L408" s="2"/>
    </row>
    <row r="409" spans="1:12">
      <c r="A409" s="1" t="s">
        <v>936</v>
      </c>
      <c r="B409" s="2" t="s">
        <v>46</v>
      </c>
      <c r="C409" s="2">
        <v>920</v>
      </c>
      <c r="D409" s="2">
        <v>3919836</v>
      </c>
      <c r="E409" s="2">
        <v>7143</v>
      </c>
      <c r="F409" s="2">
        <v>615198</v>
      </c>
      <c r="G409" s="2">
        <v>2820</v>
      </c>
      <c r="H409" s="2">
        <v>156099</v>
      </c>
      <c r="I409" s="2">
        <v>50797</v>
      </c>
      <c r="J409" s="13">
        <v>15</v>
      </c>
      <c r="K409" s="2">
        <v>17</v>
      </c>
      <c r="L409" s="2"/>
    </row>
    <row r="410" spans="1:12">
      <c r="A410" s="1" t="s">
        <v>937</v>
      </c>
      <c r="B410" s="2" t="s">
        <v>46</v>
      </c>
      <c r="C410" s="2">
        <v>920</v>
      </c>
      <c r="D410" s="2">
        <v>2667537</v>
      </c>
      <c r="E410" s="2">
        <v>5903</v>
      </c>
      <c r="F410" s="2">
        <v>525413</v>
      </c>
      <c r="G410" s="2">
        <v>2613</v>
      </c>
      <c r="H410" s="2">
        <v>915973</v>
      </c>
      <c r="I410" s="2">
        <v>49998</v>
      </c>
      <c r="J410" s="13">
        <v>15</v>
      </c>
      <c r="K410" s="2">
        <v>17</v>
      </c>
      <c r="L410" s="2"/>
    </row>
    <row r="411" spans="1:12">
      <c r="A411" s="1" t="s">
        <v>938</v>
      </c>
      <c r="B411" s="2" t="s">
        <v>46</v>
      </c>
      <c r="C411" s="2">
        <v>920</v>
      </c>
      <c r="D411" s="2">
        <v>3635424</v>
      </c>
      <c r="E411" s="2">
        <v>6868</v>
      </c>
      <c r="F411" s="2">
        <v>830046</v>
      </c>
      <c r="G411" s="2">
        <v>3260</v>
      </c>
      <c r="H411" s="2">
        <v>1227830</v>
      </c>
      <c r="I411" s="2">
        <v>69125</v>
      </c>
      <c r="J411" s="13">
        <v>18</v>
      </c>
      <c r="K411" s="2">
        <v>18</v>
      </c>
      <c r="L411" s="2"/>
    </row>
    <row r="412" spans="1:12">
      <c r="A412" s="1" t="s">
        <v>939</v>
      </c>
      <c r="B412" s="2" t="s">
        <v>46</v>
      </c>
      <c r="C412" s="2">
        <v>920</v>
      </c>
      <c r="D412" s="2">
        <v>3421464</v>
      </c>
      <c r="E412" s="2">
        <v>6603</v>
      </c>
      <c r="F412" s="2">
        <v>670678</v>
      </c>
      <c r="G412" s="2">
        <v>2919</v>
      </c>
      <c r="H412" s="2">
        <v>545038</v>
      </c>
      <c r="I412" s="2">
        <v>80751</v>
      </c>
      <c r="J412" s="13">
        <v>15</v>
      </c>
      <c r="K412" s="2">
        <v>16</v>
      </c>
      <c r="L412" s="2"/>
    </row>
    <row r="413" spans="1:12">
      <c r="A413" s="1" t="s">
        <v>940</v>
      </c>
      <c r="B413" s="2" t="s">
        <v>46</v>
      </c>
      <c r="C413" s="2">
        <v>920</v>
      </c>
      <c r="D413" s="2">
        <v>2536257</v>
      </c>
      <c r="E413" s="2">
        <v>5791</v>
      </c>
      <c r="F413" s="2">
        <v>577097</v>
      </c>
      <c r="G413" s="2">
        <v>2718</v>
      </c>
      <c r="H413" s="2">
        <v>942944</v>
      </c>
      <c r="I413" s="2">
        <v>64575</v>
      </c>
      <c r="J413" s="13">
        <v>16</v>
      </c>
      <c r="K413" s="2">
        <v>16</v>
      </c>
      <c r="L413" s="2"/>
    </row>
    <row r="414" spans="1:12">
      <c r="A414" s="1" t="s">
        <v>1229</v>
      </c>
      <c r="B414" s="2" t="s">
        <v>46</v>
      </c>
      <c r="C414" s="2">
        <v>920</v>
      </c>
      <c r="D414" s="2">
        <v>2866245</v>
      </c>
      <c r="E414" s="2">
        <v>6101</v>
      </c>
      <c r="F414" s="2">
        <v>630233</v>
      </c>
      <c r="G414" s="2">
        <v>2849</v>
      </c>
      <c r="H414" s="2">
        <v>909094</v>
      </c>
      <c r="I414" s="2">
        <v>50641</v>
      </c>
      <c r="J414" s="13">
        <v>20</v>
      </c>
      <c r="K414" s="2">
        <v>20</v>
      </c>
      <c r="L414" s="2"/>
    </row>
    <row r="415" spans="1:12">
      <c r="A415" s="1" t="s">
        <v>1230</v>
      </c>
      <c r="B415" s="2" t="s">
        <v>46</v>
      </c>
      <c r="C415" s="2">
        <v>920</v>
      </c>
      <c r="D415" s="2">
        <v>3066411</v>
      </c>
      <c r="E415" s="2">
        <v>6257</v>
      </c>
      <c r="F415" s="2">
        <v>516998</v>
      </c>
      <c r="G415" s="2">
        <v>2590</v>
      </c>
      <c r="H415" s="2">
        <v>558393</v>
      </c>
      <c r="I415" s="2">
        <v>56951</v>
      </c>
      <c r="J415" s="13">
        <v>14</v>
      </c>
      <c r="K415" s="2">
        <v>16</v>
      </c>
      <c r="L415" s="2"/>
    </row>
    <row r="416" spans="1:12">
      <c r="A416" s="1" t="s">
        <v>1231</v>
      </c>
      <c r="B416" s="2" t="s">
        <v>46</v>
      </c>
      <c r="C416" s="2">
        <v>920</v>
      </c>
      <c r="D416" s="2">
        <v>2610651</v>
      </c>
      <c r="E416" s="2">
        <v>5760</v>
      </c>
      <c r="F416" s="2">
        <v>489885</v>
      </c>
      <c r="G416" s="2">
        <v>2509</v>
      </c>
      <c r="H416" s="2">
        <v>587309</v>
      </c>
      <c r="I416" s="2">
        <v>58785</v>
      </c>
      <c r="J416" s="13">
        <v>15</v>
      </c>
      <c r="K416" s="2">
        <v>15</v>
      </c>
      <c r="L416" s="2"/>
    </row>
    <row r="417" spans="1:12">
      <c r="A417" s="1" t="s">
        <v>941</v>
      </c>
      <c r="B417" s="2" t="s">
        <v>46</v>
      </c>
      <c r="C417" s="2">
        <v>920</v>
      </c>
      <c r="D417" s="2">
        <v>2339841</v>
      </c>
      <c r="E417" s="2">
        <v>5459</v>
      </c>
      <c r="F417" s="2">
        <v>529231</v>
      </c>
      <c r="G417" s="2">
        <v>2605</v>
      </c>
      <c r="H417" s="2">
        <v>776235</v>
      </c>
      <c r="I417" s="2">
        <v>35709</v>
      </c>
      <c r="J417" s="13">
        <v>15</v>
      </c>
      <c r="K417" s="2" t="s">
        <v>287</v>
      </c>
      <c r="L417" s="2"/>
    </row>
    <row r="418" spans="1:12">
      <c r="A418" s="1" t="s">
        <v>942</v>
      </c>
      <c r="B418" s="2" t="s">
        <v>46</v>
      </c>
      <c r="C418" s="2">
        <v>920</v>
      </c>
      <c r="D418" s="2">
        <v>1536411</v>
      </c>
      <c r="E418" s="2">
        <v>4442</v>
      </c>
      <c r="F418" s="2">
        <v>249954</v>
      </c>
      <c r="G418" s="2">
        <v>1797</v>
      </c>
      <c r="H418" s="2">
        <v>314799</v>
      </c>
      <c r="I418" s="2">
        <v>32669</v>
      </c>
      <c r="J418" s="13">
        <v>12</v>
      </c>
      <c r="K418" s="2">
        <v>17</v>
      </c>
      <c r="L418" s="2"/>
    </row>
    <row r="419" spans="1:12">
      <c r="A419" s="1" t="s">
        <v>943</v>
      </c>
      <c r="B419" s="2" t="s">
        <v>46</v>
      </c>
      <c r="C419" s="2">
        <v>920</v>
      </c>
      <c r="D419" s="2">
        <v>1623375</v>
      </c>
      <c r="E419" s="2">
        <v>4592</v>
      </c>
      <c r="F419" s="2">
        <v>300107</v>
      </c>
      <c r="G419" s="2">
        <v>1961</v>
      </c>
      <c r="H419" s="2">
        <v>626015</v>
      </c>
      <c r="I419" s="2">
        <v>37099</v>
      </c>
      <c r="J419" s="13">
        <v>15</v>
      </c>
      <c r="K419" s="2" t="s">
        <v>287</v>
      </c>
      <c r="L419" s="2"/>
    </row>
    <row r="420" spans="1:12">
      <c r="A420" s="1" t="s">
        <v>1232</v>
      </c>
      <c r="B420" s="2" t="s">
        <v>46</v>
      </c>
      <c r="C420" s="2">
        <v>920</v>
      </c>
      <c r="D420" s="2">
        <v>1943004</v>
      </c>
      <c r="E420" s="2">
        <v>4972</v>
      </c>
      <c r="F420" s="2">
        <v>460399</v>
      </c>
      <c r="G420" s="2">
        <v>2426</v>
      </c>
      <c r="H420" s="2">
        <v>672516</v>
      </c>
      <c r="I420" s="2">
        <v>35926</v>
      </c>
      <c r="J420" s="13">
        <v>17</v>
      </c>
      <c r="K420" s="2">
        <v>17</v>
      </c>
      <c r="L420" s="2"/>
    </row>
    <row r="421" spans="1:12">
      <c r="A421" s="1" t="s">
        <v>1233</v>
      </c>
      <c r="B421" s="2" t="s">
        <v>46</v>
      </c>
      <c r="C421" s="2">
        <v>920</v>
      </c>
      <c r="D421" s="2">
        <v>1736004</v>
      </c>
      <c r="E421" s="2">
        <v>4718</v>
      </c>
      <c r="F421" s="2">
        <v>271174</v>
      </c>
      <c r="G421" s="2">
        <v>1864</v>
      </c>
      <c r="H421" s="2">
        <v>627635</v>
      </c>
      <c r="I421" s="2">
        <v>38347</v>
      </c>
      <c r="J421" s="13">
        <v>13</v>
      </c>
      <c r="K421" s="2">
        <v>16</v>
      </c>
      <c r="L421" s="2"/>
    </row>
    <row r="422" spans="1:12">
      <c r="A422" s="1" t="s">
        <v>1234</v>
      </c>
      <c r="B422" s="2" t="s">
        <v>46</v>
      </c>
      <c r="C422" s="2">
        <v>920</v>
      </c>
      <c r="D422" s="2">
        <v>1669632</v>
      </c>
      <c r="E422" s="2">
        <v>4619</v>
      </c>
      <c r="F422" s="2">
        <v>312373</v>
      </c>
      <c r="G422" s="2">
        <v>1994</v>
      </c>
      <c r="H422" s="2">
        <v>635204</v>
      </c>
      <c r="I422" s="2">
        <v>39303</v>
      </c>
      <c r="J422" s="13">
        <v>14</v>
      </c>
      <c r="K422" s="2">
        <v>17</v>
      </c>
      <c r="L422" s="2"/>
    </row>
    <row r="423" spans="1:12">
      <c r="A423" s="1" t="s">
        <v>1235</v>
      </c>
      <c r="B423" s="2" t="s">
        <v>46</v>
      </c>
      <c r="C423" s="2">
        <v>920</v>
      </c>
      <c r="D423" s="2">
        <v>1812306</v>
      </c>
      <c r="E423" s="2">
        <v>4838</v>
      </c>
      <c r="F423" s="2">
        <v>275837</v>
      </c>
      <c r="G423" s="2">
        <v>1885</v>
      </c>
      <c r="H423" s="2">
        <v>387866</v>
      </c>
      <c r="I423" s="2">
        <v>35110</v>
      </c>
      <c r="J423" s="13">
        <v>11</v>
      </c>
      <c r="K423" s="2">
        <v>17</v>
      </c>
      <c r="L423" s="2"/>
    </row>
    <row r="424" spans="1:12">
      <c r="A424" s="1" t="s">
        <v>1236</v>
      </c>
      <c r="B424" s="2" t="s">
        <v>46</v>
      </c>
      <c r="C424" s="2">
        <v>920</v>
      </c>
      <c r="D424" s="2">
        <v>1301493</v>
      </c>
      <c r="E424" s="2">
        <v>4088</v>
      </c>
      <c r="F424" s="2">
        <v>203054</v>
      </c>
      <c r="G424" s="2">
        <v>1620</v>
      </c>
      <c r="H424" s="2">
        <v>0</v>
      </c>
      <c r="I424" s="2">
        <v>22693</v>
      </c>
      <c r="J424" s="13">
        <v>11</v>
      </c>
      <c r="K424" s="2">
        <v>16</v>
      </c>
      <c r="L424" s="2"/>
    </row>
    <row r="425" spans="1:12">
      <c r="A425" s="1" t="s">
        <v>1237</v>
      </c>
      <c r="B425" s="2" t="s">
        <v>46</v>
      </c>
      <c r="C425" s="2">
        <v>920</v>
      </c>
      <c r="D425" s="2">
        <v>1400145</v>
      </c>
      <c r="E425" s="2">
        <v>4225</v>
      </c>
      <c r="F425" s="2">
        <v>285778</v>
      </c>
      <c r="G425" s="2">
        <v>1913</v>
      </c>
      <c r="H425" s="2">
        <v>481639</v>
      </c>
      <c r="I425" s="2">
        <v>31461</v>
      </c>
      <c r="J425" s="13">
        <v>12</v>
      </c>
      <c r="K425" s="2">
        <v>16</v>
      </c>
      <c r="L425" s="2"/>
    </row>
    <row r="426" spans="1:12">
      <c r="A426" s="1" t="s">
        <v>1238</v>
      </c>
      <c r="B426" s="2" t="s">
        <v>46</v>
      </c>
      <c r="C426" s="2">
        <v>920</v>
      </c>
      <c r="D426" s="2">
        <v>1404630</v>
      </c>
      <c r="E426" s="2">
        <v>4233</v>
      </c>
      <c r="F426" s="2">
        <v>314081</v>
      </c>
      <c r="G426" s="2">
        <v>2001</v>
      </c>
      <c r="H426" s="2">
        <v>353926</v>
      </c>
      <c r="I426" s="2">
        <v>29673</v>
      </c>
      <c r="J426" s="13">
        <v>13</v>
      </c>
      <c r="K426" s="2">
        <v>16</v>
      </c>
      <c r="L426" s="2"/>
    </row>
    <row r="427" spans="1:12">
      <c r="A427" s="1" t="s">
        <v>1239</v>
      </c>
      <c r="B427" s="2" t="s">
        <v>46</v>
      </c>
      <c r="C427" s="2">
        <v>920</v>
      </c>
      <c r="D427" s="2">
        <v>994836</v>
      </c>
      <c r="E427" s="2">
        <v>3567</v>
      </c>
      <c r="F427" s="2">
        <v>162799</v>
      </c>
      <c r="G427" s="2">
        <v>1440</v>
      </c>
      <c r="H427" s="2">
        <v>185335</v>
      </c>
      <c r="I427" s="2">
        <v>18045</v>
      </c>
      <c r="J427" s="13">
        <v>10</v>
      </c>
      <c r="K427" s="2">
        <v>13</v>
      </c>
      <c r="L427" s="2"/>
    </row>
    <row r="428" spans="1:12">
      <c r="A428" s="1" t="s">
        <v>1240</v>
      </c>
      <c r="B428" s="2" t="s">
        <v>46</v>
      </c>
      <c r="C428" s="2">
        <v>920</v>
      </c>
      <c r="D428" s="2">
        <v>1299801</v>
      </c>
      <c r="E428" s="2">
        <v>4074</v>
      </c>
      <c r="F428" s="2">
        <v>220802</v>
      </c>
      <c r="G428" s="2">
        <v>1679</v>
      </c>
      <c r="H428" s="2">
        <v>406430</v>
      </c>
      <c r="I428" s="2">
        <v>31690</v>
      </c>
      <c r="J428" s="13">
        <v>12</v>
      </c>
      <c r="K428" s="2">
        <v>15</v>
      </c>
      <c r="L428" s="2"/>
    </row>
    <row r="429" spans="1:12">
      <c r="A429" s="1" t="s">
        <v>619</v>
      </c>
      <c r="B429" s="2" t="s">
        <v>46</v>
      </c>
      <c r="C429" s="2">
        <v>920</v>
      </c>
      <c r="D429" s="2">
        <v>2938557</v>
      </c>
      <c r="E429" s="2">
        <v>6139.96</v>
      </c>
      <c r="F429" s="2">
        <v>550307</v>
      </c>
      <c r="G429" s="2">
        <v>2644.0120000000002</v>
      </c>
      <c r="H429" s="2">
        <v>1225818</v>
      </c>
      <c r="I429" s="2">
        <v>35427</v>
      </c>
      <c r="J429" s="13">
        <v>22</v>
      </c>
      <c r="K429" s="43">
        <v>22.67</v>
      </c>
      <c r="L429" s="2"/>
    </row>
    <row r="430" spans="1:12">
      <c r="A430" s="1" t="s">
        <v>620</v>
      </c>
      <c r="B430" s="2" t="s">
        <v>46</v>
      </c>
      <c r="C430" s="2">
        <v>920</v>
      </c>
      <c r="D430" s="2">
        <v>2449257</v>
      </c>
      <c r="E430" s="2">
        <v>5651.8069999999998</v>
      </c>
      <c r="F430" s="2">
        <v>367191</v>
      </c>
      <c r="G430" s="2">
        <v>2168.009</v>
      </c>
      <c r="H430" s="2">
        <v>395146</v>
      </c>
      <c r="I430" s="2">
        <v>31160</v>
      </c>
      <c r="J430" s="13">
        <v>14</v>
      </c>
      <c r="K430" s="43">
        <v>20.25</v>
      </c>
      <c r="L430" s="2"/>
    </row>
    <row r="431" spans="1:12">
      <c r="A431" s="1" t="s">
        <v>621</v>
      </c>
      <c r="B431" s="2" t="s">
        <v>46</v>
      </c>
      <c r="C431" s="2">
        <v>920</v>
      </c>
      <c r="D431" s="2">
        <v>2632590</v>
      </c>
      <c r="E431" s="2">
        <v>6015.66</v>
      </c>
      <c r="F431" s="2">
        <v>480171</v>
      </c>
      <c r="G431" s="2">
        <v>2468.9279999999999</v>
      </c>
      <c r="H431" s="2">
        <v>1158775</v>
      </c>
      <c r="I431" s="2">
        <v>32568</v>
      </c>
      <c r="J431" s="13">
        <v>16</v>
      </c>
      <c r="K431" s="43" t="s">
        <v>287</v>
      </c>
      <c r="L431" s="2"/>
    </row>
    <row r="432" spans="1:12">
      <c r="A432" s="1" t="s">
        <v>1241</v>
      </c>
      <c r="B432" s="2" t="s">
        <v>46</v>
      </c>
      <c r="C432" s="2">
        <v>920</v>
      </c>
      <c r="D432" s="2">
        <v>2581332</v>
      </c>
      <c r="E432" s="2">
        <v>5729</v>
      </c>
      <c r="F432" s="2">
        <v>534735</v>
      </c>
      <c r="G432" s="2">
        <v>2619</v>
      </c>
      <c r="H432" s="2">
        <v>554001</v>
      </c>
      <c r="I432" s="2">
        <v>47612</v>
      </c>
      <c r="J432" s="13">
        <v>16</v>
      </c>
      <c r="K432" s="2">
        <v>19</v>
      </c>
      <c r="L432" s="2"/>
    </row>
    <row r="433" spans="1:12">
      <c r="A433" s="1" t="s">
        <v>1242</v>
      </c>
      <c r="B433" s="2" t="s">
        <v>46</v>
      </c>
      <c r="C433" s="2">
        <v>920</v>
      </c>
      <c r="D433" s="2">
        <v>2177364</v>
      </c>
      <c r="E433" s="2">
        <v>5361</v>
      </c>
      <c r="F433" s="2">
        <v>350431</v>
      </c>
      <c r="G433" s="2">
        <v>2112</v>
      </c>
      <c r="H433" s="2">
        <v>801152</v>
      </c>
      <c r="I433" s="2">
        <v>49880</v>
      </c>
      <c r="J433" s="13">
        <v>13</v>
      </c>
      <c r="K433" s="2">
        <v>17</v>
      </c>
      <c r="L433" s="2"/>
    </row>
    <row r="434" spans="1:12">
      <c r="A434" s="1" t="s">
        <v>1243</v>
      </c>
      <c r="B434" s="2" t="s">
        <v>46</v>
      </c>
      <c r="C434" s="2">
        <v>920</v>
      </c>
      <c r="D434" s="2">
        <v>2016042</v>
      </c>
      <c r="E434" s="2">
        <v>5085</v>
      </c>
      <c r="F434" s="2">
        <v>406570</v>
      </c>
      <c r="G434" s="2">
        <v>2277</v>
      </c>
      <c r="H434" s="2">
        <v>839961</v>
      </c>
      <c r="I434" s="2">
        <v>54600</v>
      </c>
      <c r="J434" s="13">
        <v>15</v>
      </c>
      <c r="K434" s="2">
        <v>17</v>
      </c>
      <c r="L434" s="2"/>
    </row>
    <row r="435" spans="1:12">
      <c r="A435" s="1" t="s">
        <v>944</v>
      </c>
      <c r="B435" s="2" t="s">
        <v>46</v>
      </c>
      <c r="C435" s="2">
        <v>920</v>
      </c>
      <c r="D435" s="2">
        <v>2269849</v>
      </c>
      <c r="E435" s="2">
        <v>5437</v>
      </c>
      <c r="F435" s="2">
        <v>447990</v>
      </c>
      <c r="G435" s="2">
        <v>2387</v>
      </c>
      <c r="H435" s="2">
        <v>559497</v>
      </c>
      <c r="I435" s="2">
        <v>39076</v>
      </c>
      <c r="J435" s="13">
        <v>14</v>
      </c>
      <c r="K435" s="2">
        <v>18</v>
      </c>
      <c r="L435" s="2"/>
    </row>
    <row r="436" spans="1:12">
      <c r="A436" s="1" t="s">
        <v>945</v>
      </c>
      <c r="B436" s="2" t="s">
        <v>46</v>
      </c>
      <c r="C436" s="2">
        <v>920</v>
      </c>
      <c r="D436" s="2">
        <v>2226906</v>
      </c>
      <c r="E436" s="2">
        <v>5342</v>
      </c>
      <c r="F436" s="2">
        <v>300156</v>
      </c>
      <c r="G436" s="2">
        <v>1957</v>
      </c>
      <c r="H436" s="2">
        <v>61573</v>
      </c>
      <c r="I436" s="2">
        <v>46365</v>
      </c>
      <c r="J436" s="13">
        <v>11</v>
      </c>
      <c r="K436" s="2">
        <v>18</v>
      </c>
      <c r="L436" s="2"/>
    </row>
    <row r="437" spans="1:12">
      <c r="A437" s="1" t="s">
        <v>946</v>
      </c>
      <c r="B437" s="2" t="s">
        <v>46</v>
      </c>
      <c r="C437" s="2">
        <v>920</v>
      </c>
      <c r="D437" s="2">
        <v>2315295</v>
      </c>
      <c r="E437" s="2">
        <v>5486</v>
      </c>
      <c r="F437" s="2">
        <v>422405</v>
      </c>
      <c r="G437" s="2">
        <v>2324</v>
      </c>
      <c r="H437" s="2">
        <v>919584</v>
      </c>
      <c r="I437" s="2">
        <v>61258</v>
      </c>
      <c r="J437" s="13">
        <v>13</v>
      </c>
      <c r="K437" s="2">
        <v>18</v>
      </c>
      <c r="L437" s="2"/>
    </row>
    <row r="438" spans="1:12">
      <c r="A438" s="1" t="s">
        <v>622</v>
      </c>
      <c r="B438" s="2" t="s">
        <v>46</v>
      </c>
      <c r="C438" s="2">
        <v>920</v>
      </c>
      <c r="D438" s="2">
        <v>2312520</v>
      </c>
      <c r="E438" s="2">
        <v>5553.2950000000001</v>
      </c>
      <c r="F438" s="2">
        <v>398945</v>
      </c>
      <c r="G438" s="2">
        <v>2266.5340000000001</v>
      </c>
      <c r="H438" s="2">
        <v>436774</v>
      </c>
      <c r="I438" s="2">
        <v>42988</v>
      </c>
      <c r="J438" s="13">
        <v>12</v>
      </c>
      <c r="K438" s="43">
        <v>18</v>
      </c>
      <c r="L438" s="2"/>
    </row>
    <row r="439" spans="1:12">
      <c r="A439" s="1" t="s">
        <v>623</v>
      </c>
      <c r="B439" s="2" t="s">
        <v>46</v>
      </c>
      <c r="C439" s="2">
        <v>920</v>
      </c>
      <c r="D439" s="2">
        <v>2023152</v>
      </c>
      <c r="E439" s="2">
        <v>5141.6409999999996</v>
      </c>
      <c r="F439" s="2">
        <v>323441</v>
      </c>
      <c r="G439" s="2">
        <v>2045.3920000000001</v>
      </c>
      <c r="H439" s="2">
        <v>452936</v>
      </c>
      <c r="I439" s="2">
        <v>45225</v>
      </c>
      <c r="J439" s="13">
        <v>10</v>
      </c>
      <c r="K439" s="43">
        <v>17.5</v>
      </c>
      <c r="L439" s="2"/>
    </row>
    <row r="440" spans="1:12">
      <c r="A440" s="1" t="s">
        <v>624</v>
      </c>
      <c r="B440" s="2" t="s">
        <v>46</v>
      </c>
      <c r="C440" s="2">
        <v>920</v>
      </c>
      <c r="D440" s="2">
        <v>2414601</v>
      </c>
      <c r="E440" s="2">
        <v>5562.7280000000001</v>
      </c>
      <c r="F440" s="2">
        <v>397070</v>
      </c>
      <c r="G440" s="2">
        <v>2253.1680000000001</v>
      </c>
      <c r="H440" s="2">
        <v>735243</v>
      </c>
      <c r="I440" s="2">
        <v>51972</v>
      </c>
      <c r="J440" s="13">
        <v>11</v>
      </c>
      <c r="K440" s="43">
        <v>17.5</v>
      </c>
      <c r="L440" s="2"/>
    </row>
    <row r="441" spans="1:12">
      <c r="A441" s="1" t="s">
        <v>458</v>
      </c>
      <c r="B441" s="2" t="s">
        <v>46</v>
      </c>
      <c r="C441" s="2">
        <v>920</v>
      </c>
      <c r="D441" s="2">
        <v>1826265</v>
      </c>
      <c r="E441" s="2">
        <v>4815</v>
      </c>
      <c r="F441" s="2">
        <v>330645</v>
      </c>
      <c r="G441" s="2">
        <v>2053</v>
      </c>
      <c r="H441" s="2">
        <v>484896</v>
      </c>
      <c r="I441" s="2">
        <v>38272</v>
      </c>
      <c r="J441" s="13">
        <v>14</v>
      </c>
      <c r="K441" s="43">
        <v>18</v>
      </c>
      <c r="L441" s="2"/>
    </row>
    <row r="442" spans="1:12">
      <c r="A442" s="1" t="s">
        <v>459</v>
      </c>
      <c r="B442" s="2" t="s">
        <v>46</v>
      </c>
      <c r="C442" s="2">
        <v>920</v>
      </c>
      <c r="D442" s="2">
        <v>1283130</v>
      </c>
      <c r="E442" s="2">
        <v>4113</v>
      </c>
      <c r="F442" s="2">
        <v>219995</v>
      </c>
      <c r="G442" s="2">
        <v>1676</v>
      </c>
      <c r="H442" s="2">
        <v>302106</v>
      </c>
      <c r="I442" s="2">
        <v>24619</v>
      </c>
      <c r="J442" s="13">
        <v>12</v>
      </c>
      <c r="K442" s="43">
        <v>17</v>
      </c>
      <c r="L442" s="2"/>
    </row>
    <row r="443" spans="1:12">
      <c r="A443" s="1" t="s">
        <v>460</v>
      </c>
      <c r="B443" s="2" t="s">
        <v>46</v>
      </c>
      <c r="C443" s="2">
        <v>920</v>
      </c>
      <c r="D443" s="2">
        <v>2029434</v>
      </c>
      <c r="E443" s="2">
        <v>5112</v>
      </c>
      <c r="F443" s="2">
        <v>349801</v>
      </c>
      <c r="G443" s="2">
        <v>2114</v>
      </c>
      <c r="H443" s="2">
        <v>623431</v>
      </c>
      <c r="I443" s="2">
        <v>42569</v>
      </c>
      <c r="J443" s="13">
        <v>14</v>
      </c>
      <c r="K443" s="43">
        <v>19</v>
      </c>
      <c r="L443" s="2"/>
    </row>
    <row r="444" spans="1:12">
      <c r="A444" s="1" t="s">
        <v>947</v>
      </c>
      <c r="B444" s="2" t="s">
        <v>46</v>
      </c>
      <c r="C444" s="2">
        <v>920</v>
      </c>
      <c r="D444" s="2">
        <v>1261971</v>
      </c>
      <c r="E444" s="2">
        <v>4038</v>
      </c>
      <c r="F444" s="2">
        <v>234213</v>
      </c>
      <c r="G444" s="2">
        <v>1726</v>
      </c>
      <c r="H444" s="2">
        <v>424052</v>
      </c>
      <c r="I444" s="2">
        <v>27588</v>
      </c>
      <c r="J444" s="13">
        <v>12</v>
      </c>
      <c r="K444" s="2">
        <v>15</v>
      </c>
      <c r="L444" s="2"/>
    </row>
    <row r="445" spans="1:12">
      <c r="A445" s="1" t="s">
        <v>948</v>
      </c>
      <c r="B445" s="2" t="s">
        <v>46</v>
      </c>
      <c r="C445" s="2">
        <v>920</v>
      </c>
      <c r="D445" s="2">
        <v>1079421</v>
      </c>
      <c r="E445" s="2">
        <v>3748</v>
      </c>
      <c r="F445" s="2">
        <v>159739</v>
      </c>
      <c r="G445" s="2">
        <v>1437</v>
      </c>
      <c r="H445" s="2">
        <v>320998</v>
      </c>
      <c r="I445" s="2">
        <v>24300</v>
      </c>
      <c r="J445" s="13">
        <v>12</v>
      </c>
      <c r="K445" s="2">
        <v>13</v>
      </c>
      <c r="L445" s="2"/>
    </row>
    <row r="446" spans="1:12">
      <c r="A446" s="1" t="s">
        <v>949</v>
      </c>
      <c r="B446" s="2" t="s">
        <v>46</v>
      </c>
      <c r="C446" s="2">
        <v>920</v>
      </c>
      <c r="D446" s="2">
        <v>1055790</v>
      </c>
      <c r="E446" s="2">
        <v>3678</v>
      </c>
      <c r="F446" s="2">
        <v>211345</v>
      </c>
      <c r="G446" s="2">
        <v>1640</v>
      </c>
      <c r="H446" s="2">
        <v>282238</v>
      </c>
      <c r="I446" s="2">
        <v>30283</v>
      </c>
      <c r="J446" s="13">
        <v>12</v>
      </c>
      <c r="K446" s="2">
        <v>15</v>
      </c>
      <c r="L446" s="2"/>
    </row>
    <row r="447" spans="1:12">
      <c r="A447" s="1" t="s">
        <v>950</v>
      </c>
      <c r="B447" s="2" t="s">
        <v>46</v>
      </c>
      <c r="C447" s="2">
        <v>920</v>
      </c>
      <c r="D447" s="2">
        <v>1387389</v>
      </c>
      <c r="E447" s="2">
        <v>4208</v>
      </c>
      <c r="F447" s="2">
        <v>324656</v>
      </c>
      <c r="G447" s="2">
        <v>2039</v>
      </c>
      <c r="H447" s="2">
        <v>340617</v>
      </c>
      <c r="I447" s="2">
        <v>23655</v>
      </c>
      <c r="J447" s="13">
        <v>13</v>
      </c>
      <c r="K447" s="2">
        <v>16</v>
      </c>
      <c r="L447" s="2"/>
    </row>
    <row r="448" spans="1:12">
      <c r="A448" s="1" t="s">
        <v>951</v>
      </c>
      <c r="B448" s="2" t="s">
        <v>46</v>
      </c>
      <c r="C448" s="2">
        <v>920</v>
      </c>
      <c r="D448" s="2">
        <v>1333419</v>
      </c>
      <c r="E448" s="2">
        <v>4178</v>
      </c>
      <c r="F448" s="2">
        <v>233880</v>
      </c>
      <c r="G448" s="2">
        <v>1729</v>
      </c>
      <c r="H448" s="2">
        <v>448187</v>
      </c>
      <c r="I448" s="2">
        <v>38799</v>
      </c>
      <c r="J448" s="13">
        <v>11</v>
      </c>
      <c r="K448" s="2">
        <v>14</v>
      </c>
      <c r="L448" s="2"/>
    </row>
    <row r="449" spans="1:12">
      <c r="A449" s="1" t="s">
        <v>952</v>
      </c>
      <c r="B449" s="2" t="s">
        <v>46</v>
      </c>
      <c r="C449" s="2">
        <v>920</v>
      </c>
      <c r="D449" s="2">
        <v>1115457</v>
      </c>
      <c r="E449" s="2">
        <v>3785</v>
      </c>
      <c r="F449" s="2">
        <v>225205</v>
      </c>
      <c r="G449" s="2">
        <v>1695</v>
      </c>
      <c r="H449" s="2">
        <v>414658</v>
      </c>
      <c r="I449" s="2">
        <v>32245</v>
      </c>
      <c r="J449" s="13">
        <v>11</v>
      </c>
      <c r="K449" s="2">
        <v>14</v>
      </c>
      <c r="L449" s="2"/>
    </row>
    <row r="450" spans="1:12">
      <c r="A450" s="1" t="s">
        <v>461</v>
      </c>
      <c r="B450" s="2" t="s">
        <v>46</v>
      </c>
      <c r="C450" s="2">
        <v>920</v>
      </c>
      <c r="D450" s="2">
        <v>1468848</v>
      </c>
      <c r="E450" s="2">
        <v>4345</v>
      </c>
      <c r="F450" s="2">
        <v>316022</v>
      </c>
      <c r="G450" s="2">
        <v>2016</v>
      </c>
      <c r="H450" s="2">
        <v>275168</v>
      </c>
      <c r="I450" s="2">
        <v>31851</v>
      </c>
      <c r="J450" s="13">
        <v>14</v>
      </c>
      <c r="K450" s="43">
        <v>16</v>
      </c>
      <c r="L450" s="2"/>
    </row>
    <row r="451" spans="1:12">
      <c r="A451" s="1" t="s">
        <v>462</v>
      </c>
      <c r="B451" s="2" t="s">
        <v>46</v>
      </c>
      <c r="C451" s="2">
        <v>920</v>
      </c>
      <c r="D451" s="2">
        <v>1693593</v>
      </c>
      <c r="E451" s="2">
        <v>4655</v>
      </c>
      <c r="F451" s="2">
        <v>261033</v>
      </c>
      <c r="G451" s="2">
        <v>1822</v>
      </c>
      <c r="H451" s="2">
        <v>216707</v>
      </c>
      <c r="I451" s="2">
        <v>38591</v>
      </c>
      <c r="J451" s="13">
        <v>10</v>
      </c>
      <c r="K451" s="43">
        <v>16</v>
      </c>
      <c r="L451" s="2"/>
    </row>
    <row r="452" spans="1:12">
      <c r="A452" s="1" t="s">
        <v>463</v>
      </c>
      <c r="B452" s="2" t="s">
        <v>46</v>
      </c>
      <c r="C452" s="2">
        <v>920</v>
      </c>
      <c r="D452" s="2">
        <v>1405329</v>
      </c>
      <c r="E452" s="2">
        <v>4311</v>
      </c>
      <c r="F452" s="2">
        <v>258701</v>
      </c>
      <c r="G452" s="2">
        <v>1813</v>
      </c>
      <c r="H452" s="2">
        <v>483462</v>
      </c>
      <c r="I452" s="2">
        <v>37292</v>
      </c>
      <c r="J452" s="13">
        <v>11</v>
      </c>
      <c r="K452" s="43">
        <v>15</v>
      </c>
      <c r="L452" s="2"/>
    </row>
    <row r="453" spans="1:12">
      <c r="A453" s="1" t="s">
        <v>953</v>
      </c>
      <c r="B453" s="2" t="s">
        <v>46</v>
      </c>
      <c r="C453" s="2">
        <v>920</v>
      </c>
      <c r="D453" s="2">
        <v>2216118</v>
      </c>
      <c r="E453" s="2">
        <v>5306</v>
      </c>
      <c r="F453" s="2">
        <v>498823</v>
      </c>
      <c r="G453" s="2">
        <v>2523</v>
      </c>
      <c r="H453" s="2">
        <v>576567</v>
      </c>
      <c r="I453" s="2">
        <v>35871</v>
      </c>
      <c r="J453" s="13">
        <v>15</v>
      </c>
      <c r="K453" s="2">
        <v>17</v>
      </c>
      <c r="L453" s="2"/>
    </row>
    <row r="454" spans="1:12">
      <c r="A454" s="1" t="s">
        <v>954</v>
      </c>
      <c r="B454" s="2" t="s">
        <v>46</v>
      </c>
      <c r="C454" s="2">
        <v>920</v>
      </c>
      <c r="D454" s="2">
        <v>1636491</v>
      </c>
      <c r="E454" s="2">
        <v>4604</v>
      </c>
      <c r="F454" s="2">
        <v>270401</v>
      </c>
      <c r="G454" s="2">
        <v>1859</v>
      </c>
      <c r="H454" s="2">
        <v>343968</v>
      </c>
      <c r="I454" s="2">
        <v>41030</v>
      </c>
      <c r="J454" s="13">
        <v>13</v>
      </c>
      <c r="K454" s="2">
        <v>17</v>
      </c>
      <c r="L454" s="2"/>
    </row>
    <row r="455" spans="1:12">
      <c r="A455" s="1" t="s">
        <v>955</v>
      </c>
      <c r="B455" s="2" t="s">
        <v>46</v>
      </c>
      <c r="C455" s="2">
        <v>920</v>
      </c>
      <c r="D455" s="2">
        <v>1677393</v>
      </c>
      <c r="E455" s="2">
        <v>4649</v>
      </c>
      <c r="F455" s="2">
        <v>336161</v>
      </c>
      <c r="G455" s="2">
        <v>2075</v>
      </c>
      <c r="H455" s="2">
        <v>663328</v>
      </c>
      <c r="I455" s="2">
        <v>52451</v>
      </c>
      <c r="J455" s="13">
        <v>14</v>
      </c>
      <c r="K455" s="2">
        <v>16</v>
      </c>
      <c r="L455" s="2"/>
    </row>
    <row r="456" spans="1:12">
      <c r="A456" s="1" t="s">
        <v>464</v>
      </c>
      <c r="B456" s="2" t="s">
        <v>46</v>
      </c>
      <c r="C456" s="2">
        <v>920</v>
      </c>
      <c r="D456" s="2">
        <v>2372799</v>
      </c>
      <c r="E456" s="2">
        <v>5492</v>
      </c>
      <c r="F456" s="2">
        <v>545978</v>
      </c>
      <c r="G456" s="2">
        <v>2654</v>
      </c>
      <c r="H456" s="2">
        <v>686855</v>
      </c>
      <c r="I456" s="2">
        <v>41222</v>
      </c>
      <c r="J456" s="13">
        <v>16</v>
      </c>
      <c r="K456" s="43">
        <v>20</v>
      </c>
      <c r="L456" s="2"/>
    </row>
    <row r="457" spans="1:12">
      <c r="A457" s="1" t="s">
        <v>465</v>
      </c>
      <c r="B457" s="2" t="s">
        <v>46</v>
      </c>
      <c r="C457" s="2">
        <v>920</v>
      </c>
      <c r="D457" s="2">
        <v>2011275</v>
      </c>
      <c r="E457" s="2">
        <v>5081</v>
      </c>
      <c r="F457" s="2">
        <v>321770</v>
      </c>
      <c r="G457" s="2">
        <v>2035</v>
      </c>
      <c r="H457" s="2">
        <v>0</v>
      </c>
      <c r="I457" s="2">
        <v>32212</v>
      </c>
      <c r="J457" s="13">
        <v>12</v>
      </c>
      <c r="K457" s="43">
        <v>17</v>
      </c>
      <c r="L457" s="2"/>
    </row>
    <row r="458" spans="1:12">
      <c r="A458" s="1" t="s">
        <v>466</v>
      </c>
      <c r="B458" s="2" t="s">
        <v>46</v>
      </c>
      <c r="C458" s="2">
        <v>920</v>
      </c>
      <c r="D458" s="2">
        <v>1766538</v>
      </c>
      <c r="E458" s="2">
        <v>4730</v>
      </c>
      <c r="F458" s="2">
        <v>300058</v>
      </c>
      <c r="G458" s="2">
        <v>1960</v>
      </c>
      <c r="H458" s="2">
        <v>482247</v>
      </c>
      <c r="I458" s="2">
        <v>35044</v>
      </c>
      <c r="J458" s="13">
        <v>14</v>
      </c>
      <c r="K458" s="43">
        <v>18</v>
      </c>
      <c r="L458" s="2"/>
    </row>
    <row r="459" spans="1:12">
      <c r="A459" s="1" t="s">
        <v>1244</v>
      </c>
      <c r="B459" s="2" t="s">
        <v>310</v>
      </c>
      <c r="C459" s="2">
        <v>500</v>
      </c>
      <c r="D459" s="2">
        <v>1005063</v>
      </c>
      <c r="E459" s="2">
        <v>3575</v>
      </c>
      <c r="F459" s="2">
        <v>235394</v>
      </c>
      <c r="G459" s="2">
        <v>1741</v>
      </c>
      <c r="H459" s="2">
        <v>270878</v>
      </c>
      <c r="I459" s="2">
        <v>14167</v>
      </c>
      <c r="J459" s="13">
        <v>23</v>
      </c>
      <c r="K459" s="2">
        <v>21</v>
      </c>
      <c r="L459" s="2"/>
    </row>
    <row r="460" spans="1:12">
      <c r="A460" s="1" t="s">
        <v>1245</v>
      </c>
      <c r="B460" s="2" t="s">
        <v>46</v>
      </c>
      <c r="C460" s="2">
        <v>920</v>
      </c>
      <c r="D460" s="2">
        <v>2916711</v>
      </c>
      <c r="E460" s="2">
        <v>6206</v>
      </c>
      <c r="F460" s="2">
        <v>579217</v>
      </c>
      <c r="G460" s="2">
        <v>2715</v>
      </c>
      <c r="H460" s="2">
        <v>936033</v>
      </c>
      <c r="I460" s="2">
        <v>67786</v>
      </c>
      <c r="J460" s="13">
        <v>18</v>
      </c>
      <c r="K460" s="2">
        <v>20</v>
      </c>
      <c r="L460" s="2"/>
    </row>
    <row r="461" spans="1:12">
      <c r="A461" s="1" t="s">
        <v>1246</v>
      </c>
      <c r="B461" s="2" t="s">
        <v>310</v>
      </c>
      <c r="C461" s="2">
        <v>500</v>
      </c>
      <c r="D461" s="2">
        <v>921239</v>
      </c>
      <c r="E461" s="2">
        <v>3421</v>
      </c>
      <c r="F461" s="2">
        <v>170023</v>
      </c>
      <c r="G461" s="2">
        <v>1473</v>
      </c>
      <c r="H461" s="2">
        <v>388646</v>
      </c>
      <c r="I461" s="2">
        <v>15444</v>
      </c>
      <c r="J461" s="13">
        <v>21</v>
      </c>
      <c r="K461" s="2">
        <v>20</v>
      </c>
      <c r="L461" s="2"/>
    </row>
    <row r="462" spans="1:12">
      <c r="A462" s="1" t="s">
        <v>956</v>
      </c>
      <c r="B462" s="2" t="s">
        <v>46</v>
      </c>
      <c r="C462" s="2">
        <v>920</v>
      </c>
      <c r="D462" s="2">
        <v>1732605</v>
      </c>
      <c r="E462" s="2">
        <v>4689</v>
      </c>
      <c r="F462" s="2">
        <v>394322</v>
      </c>
      <c r="G462" s="2">
        <v>2237</v>
      </c>
      <c r="H462" s="2">
        <v>424304</v>
      </c>
      <c r="I462" s="2">
        <v>29145</v>
      </c>
      <c r="J462" s="13">
        <v>17</v>
      </c>
      <c r="K462" s="2">
        <v>19</v>
      </c>
      <c r="L462" s="2"/>
    </row>
    <row r="463" spans="1:12">
      <c r="A463" s="1" t="s">
        <v>957</v>
      </c>
      <c r="B463" s="2" t="s">
        <v>46</v>
      </c>
      <c r="C463" s="2">
        <v>920</v>
      </c>
      <c r="D463" s="2">
        <v>2230407</v>
      </c>
      <c r="E463" s="2">
        <v>5468</v>
      </c>
      <c r="F463" s="2">
        <v>309412</v>
      </c>
      <c r="G463" s="2">
        <v>2005</v>
      </c>
      <c r="H463" s="2">
        <v>1521</v>
      </c>
      <c r="I463" s="2">
        <v>38359</v>
      </c>
      <c r="J463" s="13">
        <v>12</v>
      </c>
      <c r="K463" s="2">
        <v>15</v>
      </c>
      <c r="L463" s="2"/>
    </row>
    <row r="464" spans="1:12">
      <c r="A464" s="1" t="s">
        <v>958</v>
      </c>
      <c r="B464" s="2" t="s">
        <v>46</v>
      </c>
      <c r="C464" s="2">
        <v>920</v>
      </c>
      <c r="D464" s="2">
        <v>1919118</v>
      </c>
      <c r="E464" s="2">
        <v>4939</v>
      </c>
      <c r="F464" s="2">
        <v>315659</v>
      </c>
      <c r="G464" s="2">
        <v>2005</v>
      </c>
      <c r="H464" s="2">
        <v>871715</v>
      </c>
      <c r="I464" s="2">
        <v>38055</v>
      </c>
      <c r="J464" s="13">
        <v>14</v>
      </c>
      <c r="K464" s="2">
        <v>16</v>
      </c>
      <c r="L464" s="2"/>
    </row>
    <row r="465" spans="1:12">
      <c r="A465" s="1" t="s">
        <v>625</v>
      </c>
      <c r="B465" s="2" t="s">
        <v>46</v>
      </c>
      <c r="C465" s="2">
        <v>920</v>
      </c>
      <c r="D465" s="2">
        <v>2586330</v>
      </c>
      <c r="E465" s="2">
        <v>5730.5079999999998</v>
      </c>
      <c r="F465" s="2">
        <v>563498</v>
      </c>
      <c r="G465" s="2">
        <v>2680.7289999999998</v>
      </c>
      <c r="H465" s="2">
        <v>713127</v>
      </c>
      <c r="I465" s="2">
        <v>41319</v>
      </c>
      <c r="J465" s="13">
        <v>18</v>
      </c>
      <c r="K465" s="43">
        <v>20.75</v>
      </c>
      <c r="L465" s="2"/>
    </row>
    <row r="466" spans="1:12">
      <c r="A466" s="1" t="s">
        <v>626</v>
      </c>
      <c r="B466" s="2" t="s">
        <v>46</v>
      </c>
      <c r="C466" s="2">
        <v>920</v>
      </c>
      <c r="D466" s="2">
        <v>3118515</v>
      </c>
      <c r="E466" s="2">
        <v>6382.8339999999998</v>
      </c>
      <c r="F466" s="2">
        <v>396514</v>
      </c>
      <c r="G466" s="2">
        <v>2248.9899999999998</v>
      </c>
      <c r="H466" s="2">
        <v>878442</v>
      </c>
      <c r="I466" s="2">
        <v>44778</v>
      </c>
      <c r="J466" s="13">
        <v>12</v>
      </c>
      <c r="K466" s="43">
        <v>18.25</v>
      </c>
      <c r="L466" s="2"/>
    </row>
    <row r="467" spans="1:12">
      <c r="A467" s="1" t="s">
        <v>627</v>
      </c>
      <c r="B467" s="2" t="s">
        <v>46</v>
      </c>
      <c r="C467" s="2">
        <v>920</v>
      </c>
      <c r="D467" s="2">
        <v>1846938</v>
      </c>
      <c r="E467" s="2">
        <v>4842.0060000000003</v>
      </c>
      <c r="F467" s="2">
        <v>346592</v>
      </c>
      <c r="G467" s="2">
        <v>2108.627</v>
      </c>
      <c r="H467" s="2">
        <v>738793</v>
      </c>
      <c r="I467" s="2">
        <v>38972</v>
      </c>
      <c r="J467" s="13">
        <v>14</v>
      </c>
      <c r="K467" s="43">
        <v>19</v>
      </c>
      <c r="L467" s="2"/>
    </row>
    <row r="468" spans="1:12">
      <c r="A468" s="1" t="s">
        <v>1247</v>
      </c>
      <c r="B468" s="2" t="s">
        <v>46</v>
      </c>
      <c r="C468" s="2">
        <v>920</v>
      </c>
      <c r="D468" s="2">
        <v>3330564</v>
      </c>
      <c r="E468" s="2">
        <v>6582</v>
      </c>
      <c r="F468" s="2">
        <v>888313</v>
      </c>
      <c r="G468" s="2">
        <v>3432</v>
      </c>
      <c r="H468" s="2">
        <v>1146430</v>
      </c>
      <c r="I468" s="2">
        <v>39476</v>
      </c>
      <c r="J468" s="13">
        <v>24</v>
      </c>
      <c r="K468" s="2">
        <v>20</v>
      </c>
      <c r="L468" s="2"/>
    </row>
    <row r="469" spans="1:12">
      <c r="A469" s="1" t="s">
        <v>1248</v>
      </c>
      <c r="B469" s="2" t="s">
        <v>46</v>
      </c>
      <c r="C469" s="2">
        <v>920</v>
      </c>
      <c r="D469" s="2">
        <v>2573175</v>
      </c>
      <c r="E469" s="2">
        <v>5728</v>
      </c>
      <c r="F469" s="2">
        <v>427101</v>
      </c>
      <c r="G469" s="2">
        <v>2342</v>
      </c>
      <c r="H469" s="2">
        <v>773477</v>
      </c>
      <c r="I469" s="2">
        <v>42179</v>
      </c>
      <c r="J469" s="13">
        <v>18</v>
      </c>
      <c r="K469" s="2">
        <v>17</v>
      </c>
      <c r="L469" s="2"/>
    </row>
    <row r="470" spans="1:12">
      <c r="A470" s="1" t="s">
        <v>1249</v>
      </c>
      <c r="B470" s="2" t="s">
        <v>46</v>
      </c>
      <c r="C470" s="2">
        <v>920</v>
      </c>
      <c r="D470" s="2">
        <v>3088866</v>
      </c>
      <c r="E470" s="2">
        <v>6355</v>
      </c>
      <c r="F470" s="2">
        <v>621236</v>
      </c>
      <c r="G470" s="2">
        <v>2850</v>
      </c>
      <c r="H470" s="2">
        <v>1191595</v>
      </c>
      <c r="I470" s="2">
        <v>59170</v>
      </c>
      <c r="J470" s="13">
        <v>20</v>
      </c>
      <c r="K470" s="2">
        <v>18</v>
      </c>
      <c r="L470" s="2"/>
    </row>
    <row r="471" spans="1:12">
      <c r="A471" s="1" t="s">
        <v>1250</v>
      </c>
      <c r="B471" s="2" t="s">
        <v>46</v>
      </c>
      <c r="C471" s="2">
        <v>920</v>
      </c>
      <c r="D471" s="2">
        <v>2827716</v>
      </c>
      <c r="E471" s="2">
        <v>6035</v>
      </c>
      <c r="F471" s="2">
        <v>707279</v>
      </c>
      <c r="G471" s="2">
        <v>3024</v>
      </c>
      <c r="H471" s="2">
        <v>873353</v>
      </c>
      <c r="I471" s="2">
        <v>34998</v>
      </c>
      <c r="J471" s="13">
        <v>20</v>
      </c>
      <c r="K471" s="2">
        <v>21</v>
      </c>
      <c r="L471" s="2"/>
    </row>
    <row r="472" spans="1:12">
      <c r="A472" s="1" t="s">
        <v>1251</v>
      </c>
      <c r="B472" s="2" t="s">
        <v>46</v>
      </c>
      <c r="C472" s="2">
        <v>920</v>
      </c>
      <c r="D472" s="2">
        <v>3166026</v>
      </c>
      <c r="E472" s="2">
        <v>6346</v>
      </c>
      <c r="F472" s="2">
        <v>598745</v>
      </c>
      <c r="G472" s="2">
        <v>2768</v>
      </c>
      <c r="H472" s="2">
        <v>230370</v>
      </c>
      <c r="I472" s="2">
        <v>56844</v>
      </c>
      <c r="J472" s="13">
        <v>16</v>
      </c>
      <c r="K472" s="2">
        <v>19</v>
      </c>
      <c r="L472" s="2"/>
    </row>
    <row r="473" spans="1:12">
      <c r="A473" s="1" t="s">
        <v>1252</v>
      </c>
      <c r="B473" s="2" t="s">
        <v>46</v>
      </c>
      <c r="C473" s="2">
        <v>920</v>
      </c>
      <c r="D473" s="2">
        <v>3132750</v>
      </c>
      <c r="E473" s="2">
        <v>6317</v>
      </c>
      <c r="F473" s="2">
        <v>616338</v>
      </c>
      <c r="G473" s="2">
        <v>2808</v>
      </c>
      <c r="H473" s="2">
        <v>1081508</v>
      </c>
      <c r="I473" s="2">
        <v>53342</v>
      </c>
      <c r="J473" s="13">
        <v>17</v>
      </c>
      <c r="K473" s="2">
        <v>18</v>
      </c>
      <c r="L473" s="2"/>
    </row>
    <row r="474" spans="1:12">
      <c r="A474" s="1" t="s">
        <v>1253</v>
      </c>
      <c r="B474" s="2" t="s">
        <v>46</v>
      </c>
      <c r="C474" s="2">
        <v>920</v>
      </c>
      <c r="D474" s="2">
        <v>3735861</v>
      </c>
      <c r="E474" s="2">
        <v>6912</v>
      </c>
      <c r="F474" s="2">
        <v>918825</v>
      </c>
      <c r="G474" s="2">
        <v>3500</v>
      </c>
      <c r="H474" s="2">
        <v>1191491</v>
      </c>
      <c r="I474" s="2">
        <v>47632</v>
      </c>
      <c r="J474" s="13">
        <v>24</v>
      </c>
      <c r="K474" s="2">
        <v>22</v>
      </c>
      <c r="L474" s="2"/>
    </row>
    <row r="475" spans="1:12">
      <c r="A475" s="1" t="s">
        <v>1254</v>
      </c>
      <c r="B475" s="2" t="s">
        <v>46</v>
      </c>
      <c r="C475" s="2">
        <v>920</v>
      </c>
      <c r="D475" s="2">
        <v>1181601</v>
      </c>
      <c r="E475" s="2">
        <v>3953</v>
      </c>
      <c r="F475" s="2">
        <v>205701</v>
      </c>
      <c r="G475" s="2">
        <v>1650</v>
      </c>
      <c r="H475" s="2">
        <v>0</v>
      </c>
      <c r="I475" s="2">
        <v>15122</v>
      </c>
      <c r="J475" s="13">
        <v>22</v>
      </c>
      <c r="K475" s="2">
        <v>20</v>
      </c>
      <c r="L475" s="2"/>
    </row>
    <row r="476" spans="1:12">
      <c r="A476" s="1" t="s">
        <v>1255</v>
      </c>
      <c r="B476" s="2" t="s">
        <v>46</v>
      </c>
      <c r="C476" s="2">
        <v>920</v>
      </c>
      <c r="D476" s="2">
        <v>1194495</v>
      </c>
      <c r="E476" s="2">
        <v>3907</v>
      </c>
      <c r="F476" s="2">
        <v>244824</v>
      </c>
      <c r="G476" s="2">
        <v>1801</v>
      </c>
      <c r="H476" s="2">
        <v>342041</v>
      </c>
      <c r="I476" s="2">
        <v>16230</v>
      </c>
      <c r="J476" s="13">
        <v>22</v>
      </c>
      <c r="K476" s="2">
        <v>20</v>
      </c>
      <c r="L476" s="2"/>
    </row>
    <row r="477" spans="1:12">
      <c r="A477" s="1" t="s">
        <v>1256</v>
      </c>
      <c r="B477" s="2" t="s">
        <v>46</v>
      </c>
      <c r="C477" s="2">
        <v>920</v>
      </c>
      <c r="D477" s="2">
        <v>3254304</v>
      </c>
      <c r="E477" s="2">
        <v>6483</v>
      </c>
      <c r="F477" s="2">
        <v>755503</v>
      </c>
      <c r="G477" s="2">
        <v>3126</v>
      </c>
      <c r="H477" s="2">
        <v>1192206</v>
      </c>
      <c r="I477" s="2">
        <v>42643</v>
      </c>
      <c r="J477" s="13">
        <v>20</v>
      </c>
      <c r="K477" s="2">
        <v>19</v>
      </c>
      <c r="L477" s="2"/>
    </row>
    <row r="478" spans="1:12">
      <c r="A478" s="1" t="s">
        <v>1257</v>
      </c>
      <c r="B478" s="2" t="s">
        <v>310</v>
      </c>
      <c r="C478" s="2">
        <v>500</v>
      </c>
      <c r="D478" s="2">
        <v>891128</v>
      </c>
      <c r="E478" s="2">
        <v>3481</v>
      </c>
      <c r="F478" s="2">
        <v>144013</v>
      </c>
      <c r="G478" s="2">
        <v>1364</v>
      </c>
      <c r="H478" s="2">
        <v>192747</v>
      </c>
      <c r="I478" s="2">
        <v>15893</v>
      </c>
      <c r="J478" s="13">
        <v>16</v>
      </c>
      <c r="K478" s="2">
        <v>18</v>
      </c>
      <c r="L478" s="2"/>
    </row>
    <row r="479" spans="1:12">
      <c r="A479" s="1" t="s">
        <v>1258</v>
      </c>
      <c r="B479" s="2" t="s">
        <v>46</v>
      </c>
      <c r="C479" s="2">
        <v>920</v>
      </c>
      <c r="D479" s="2">
        <v>2984754</v>
      </c>
      <c r="E479" s="2">
        <v>6180</v>
      </c>
      <c r="F479" s="2">
        <v>574105</v>
      </c>
      <c r="G479" s="2">
        <v>2713</v>
      </c>
      <c r="H479" s="2">
        <v>1315712</v>
      </c>
      <c r="I479" s="2">
        <v>62159</v>
      </c>
      <c r="J479" s="13">
        <v>17</v>
      </c>
      <c r="K479" s="2">
        <v>18</v>
      </c>
      <c r="L479" s="2"/>
    </row>
    <row r="480" spans="1:12">
      <c r="A480" s="1" t="s">
        <v>959</v>
      </c>
      <c r="B480" s="2" t="s">
        <v>46</v>
      </c>
      <c r="C480" s="2">
        <v>920</v>
      </c>
      <c r="D480" s="2">
        <v>1981137</v>
      </c>
      <c r="E480" s="2">
        <v>5080</v>
      </c>
      <c r="F480" s="2">
        <v>454680</v>
      </c>
      <c r="G480" s="2">
        <v>2410</v>
      </c>
      <c r="H480" s="2">
        <v>492899</v>
      </c>
      <c r="I480" s="2">
        <v>26291</v>
      </c>
      <c r="J480" s="13">
        <v>14</v>
      </c>
      <c r="K480" s="2">
        <v>16</v>
      </c>
      <c r="L480" s="2"/>
    </row>
    <row r="481" spans="1:12">
      <c r="A481" s="1" t="s">
        <v>960</v>
      </c>
      <c r="B481" s="2" t="s">
        <v>46</v>
      </c>
      <c r="C481" s="2">
        <v>920</v>
      </c>
      <c r="D481" s="2">
        <v>986676</v>
      </c>
      <c r="E481" s="2">
        <v>3597</v>
      </c>
      <c r="F481" s="2">
        <v>150841</v>
      </c>
      <c r="G481" s="2">
        <v>1401</v>
      </c>
      <c r="H481" s="2">
        <v>248613</v>
      </c>
      <c r="I481" s="2">
        <v>21580</v>
      </c>
      <c r="J481" s="13">
        <v>10</v>
      </c>
      <c r="K481" s="2">
        <v>14</v>
      </c>
      <c r="L481" s="2"/>
    </row>
    <row r="482" spans="1:12">
      <c r="A482" s="1" t="s">
        <v>961</v>
      </c>
      <c r="B482" s="2" t="s">
        <v>46</v>
      </c>
      <c r="C482" s="2">
        <v>920</v>
      </c>
      <c r="D482" s="2">
        <v>1750239</v>
      </c>
      <c r="E482" s="2">
        <v>4767</v>
      </c>
      <c r="F482" s="2">
        <v>358714</v>
      </c>
      <c r="G482" s="2">
        <v>2140</v>
      </c>
      <c r="H482" s="2">
        <v>581877</v>
      </c>
      <c r="I482" s="2">
        <v>35965</v>
      </c>
      <c r="J482" s="13">
        <v>13</v>
      </c>
      <c r="K482" s="2">
        <v>16</v>
      </c>
      <c r="L482" s="2"/>
    </row>
    <row r="483" spans="1:12">
      <c r="A483" s="1" t="s">
        <v>1259</v>
      </c>
      <c r="B483" s="2" t="s">
        <v>46</v>
      </c>
      <c r="C483" s="2">
        <v>920</v>
      </c>
      <c r="D483" s="2">
        <v>2820081</v>
      </c>
      <c r="E483" s="2">
        <v>6028</v>
      </c>
      <c r="F483" s="2">
        <v>615025</v>
      </c>
      <c r="G483" s="2">
        <v>2865</v>
      </c>
      <c r="H483" s="2">
        <v>961112</v>
      </c>
      <c r="I483" s="2">
        <v>38025</v>
      </c>
      <c r="J483" s="13">
        <v>19</v>
      </c>
      <c r="K483" s="2">
        <v>20</v>
      </c>
      <c r="L483" s="2"/>
    </row>
    <row r="484" spans="1:12">
      <c r="A484" s="1" t="s">
        <v>1260</v>
      </c>
      <c r="B484" s="2" t="s">
        <v>46</v>
      </c>
      <c r="C484" s="2">
        <v>920</v>
      </c>
      <c r="D484" s="2">
        <v>2275173</v>
      </c>
      <c r="E484" s="2">
        <v>5408</v>
      </c>
      <c r="F484" s="2">
        <v>306204</v>
      </c>
      <c r="G484" s="2">
        <v>1997</v>
      </c>
      <c r="H484" s="2">
        <v>267420</v>
      </c>
      <c r="I484" s="2">
        <v>35454</v>
      </c>
      <c r="J484" s="13">
        <v>13</v>
      </c>
      <c r="K484" s="2">
        <v>17</v>
      </c>
      <c r="L484" s="2"/>
    </row>
    <row r="485" spans="1:12">
      <c r="A485" s="1" t="s">
        <v>1261</v>
      </c>
      <c r="B485" s="2" t="s">
        <v>46</v>
      </c>
      <c r="C485" s="2">
        <v>920</v>
      </c>
      <c r="D485" s="2">
        <v>2548248</v>
      </c>
      <c r="E485" s="2">
        <v>5749</v>
      </c>
      <c r="F485" s="2">
        <v>485183</v>
      </c>
      <c r="G485" s="2">
        <v>2496</v>
      </c>
      <c r="H485" s="2">
        <v>1102235</v>
      </c>
      <c r="I485" s="2">
        <v>50235</v>
      </c>
      <c r="J485" s="13">
        <v>18</v>
      </c>
      <c r="K485" s="2">
        <v>18</v>
      </c>
      <c r="L485" s="2"/>
    </row>
    <row r="486" spans="1:12">
      <c r="A486" s="23" t="s">
        <v>962</v>
      </c>
      <c r="B486" s="2" t="s">
        <v>46</v>
      </c>
      <c r="C486" s="2">
        <v>920</v>
      </c>
      <c r="D486" s="16">
        <v>2899881</v>
      </c>
      <c r="E486" s="16">
        <v>6106</v>
      </c>
      <c r="F486" s="16">
        <v>666191</v>
      </c>
      <c r="G486" s="16">
        <v>2937</v>
      </c>
      <c r="H486" s="2">
        <v>888046</v>
      </c>
      <c r="I486" s="2">
        <v>39448</v>
      </c>
      <c r="J486" s="17">
        <v>21</v>
      </c>
      <c r="K486" s="16">
        <v>18</v>
      </c>
      <c r="L486" s="2"/>
    </row>
    <row r="487" spans="1:12">
      <c r="A487" s="1" t="s">
        <v>963</v>
      </c>
      <c r="B487" s="2" t="s">
        <v>46</v>
      </c>
      <c r="C487" s="2">
        <v>920</v>
      </c>
      <c r="D487" s="2">
        <v>3057636</v>
      </c>
      <c r="E487" s="2">
        <v>6396</v>
      </c>
      <c r="F487" s="2">
        <v>434485</v>
      </c>
      <c r="G487" s="2">
        <v>2356</v>
      </c>
      <c r="H487" s="2">
        <v>909198</v>
      </c>
      <c r="I487" s="2">
        <v>38218</v>
      </c>
      <c r="J487" s="13">
        <v>14</v>
      </c>
      <c r="K487" s="2">
        <v>18</v>
      </c>
      <c r="L487" s="2"/>
    </row>
    <row r="488" spans="1:12">
      <c r="A488" s="1" t="s">
        <v>964</v>
      </c>
      <c r="B488" s="2" t="s">
        <v>46</v>
      </c>
      <c r="C488" s="2">
        <v>920</v>
      </c>
      <c r="D488" s="2">
        <v>2918814</v>
      </c>
      <c r="E488" s="2">
        <v>6120</v>
      </c>
      <c r="F488" s="2">
        <v>485920</v>
      </c>
      <c r="G488" s="2">
        <v>2499</v>
      </c>
      <c r="H488" s="2">
        <v>1183688</v>
      </c>
      <c r="I488" s="2">
        <v>56101</v>
      </c>
      <c r="J488" s="13">
        <v>16</v>
      </c>
      <c r="K488" s="2">
        <v>16</v>
      </c>
      <c r="L488" s="2"/>
    </row>
    <row r="489" spans="1:12">
      <c r="A489" s="1" t="s">
        <v>628</v>
      </c>
      <c r="B489" s="2" t="s">
        <v>46</v>
      </c>
      <c r="C489" s="2">
        <v>920</v>
      </c>
      <c r="D489" s="2">
        <v>2744787</v>
      </c>
      <c r="E489" s="2">
        <v>6086.2259999999997</v>
      </c>
      <c r="F489" s="2">
        <v>656443</v>
      </c>
      <c r="G489" s="2">
        <v>2981.6280000000002</v>
      </c>
      <c r="H489" s="2">
        <v>520171</v>
      </c>
      <c r="I489" s="2">
        <v>38162</v>
      </c>
      <c r="J489" s="13">
        <v>22</v>
      </c>
      <c r="K489" s="43">
        <v>18.25</v>
      </c>
      <c r="L489" s="2"/>
    </row>
    <row r="490" spans="1:12">
      <c r="A490" s="1" t="s">
        <v>629</v>
      </c>
      <c r="B490" s="2" t="s">
        <v>46</v>
      </c>
      <c r="C490" s="2">
        <v>920</v>
      </c>
      <c r="D490" s="2">
        <v>2888298</v>
      </c>
      <c r="E490" s="2">
        <v>6187.1959999999999</v>
      </c>
      <c r="F490" s="2">
        <v>516864</v>
      </c>
      <c r="G490" s="2">
        <v>2609.3530000000001</v>
      </c>
      <c r="H490" s="2">
        <v>962212</v>
      </c>
      <c r="I490" s="2">
        <v>56237</v>
      </c>
      <c r="J490" s="13">
        <v>14</v>
      </c>
      <c r="K490" s="43">
        <v>16.5</v>
      </c>
      <c r="L490" s="2"/>
    </row>
    <row r="491" spans="1:12">
      <c r="A491" s="1" t="s">
        <v>630</v>
      </c>
      <c r="B491" s="2" t="s">
        <v>46</v>
      </c>
      <c r="C491" s="2">
        <v>920</v>
      </c>
      <c r="D491" s="2">
        <v>2255364</v>
      </c>
      <c r="E491" s="2">
        <v>5419.9059999999999</v>
      </c>
      <c r="F491" s="2">
        <v>479851</v>
      </c>
      <c r="G491" s="2">
        <v>2494.88</v>
      </c>
      <c r="H491" s="16">
        <v>804735</v>
      </c>
      <c r="I491" s="16">
        <v>44428</v>
      </c>
      <c r="J491" s="13">
        <v>15</v>
      </c>
      <c r="K491" s="43">
        <v>13.25</v>
      </c>
      <c r="L491" s="16"/>
    </row>
  </sheetData>
  <phoneticPr fontId="5" type="noConversion"/>
  <dataValidations count="1">
    <dataValidation type="list" allowBlank="1" showInputMessage="1" showErrorMessage="1" sqref="B2:B491" xr:uid="{FF9A646D-55C1-4C89-942A-96E64145F784}">
      <formula1>"2X,4X"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86BF-BADB-4006-8CF2-A98AC5175361}">
  <dimension ref="A1:O164"/>
  <sheetViews>
    <sheetView topLeftCell="E1" workbookViewId="0">
      <selection activeCell="N164" sqref="H138:N164"/>
    </sheetView>
  </sheetViews>
  <sheetFormatPr defaultRowHeight="15"/>
  <cols>
    <col min="1" max="1" width="18.85546875" customWidth="1"/>
    <col min="2" max="2" width="6.28515625" customWidth="1"/>
    <col min="3" max="3" width="15.7109375" bestFit="1" customWidth="1"/>
    <col min="4" max="4" width="16.5703125" customWidth="1"/>
    <col min="5" max="5" width="71.5703125" customWidth="1"/>
    <col min="6" max="6" width="13.5703125" bestFit="1" customWidth="1"/>
    <col min="7" max="7" width="10.7109375" bestFit="1" customWidth="1"/>
    <col min="8" max="8" width="24" bestFit="1" customWidth="1"/>
    <col min="9" max="9" width="27.85546875" bestFit="1" customWidth="1"/>
    <col min="10" max="10" width="24" bestFit="1" customWidth="1"/>
    <col min="11" max="11" width="11.42578125" bestFit="1" customWidth="1"/>
    <col min="12" max="14" width="16.28515625" style="3" customWidth="1"/>
    <col min="15" max="15" width="9.140625" style="3"/>
  </cols>
  <sheetData>
    <row r="1" spans="1:15" ht="30">
      <c r="A1" s="7" t="s">
        <v>39</v>
      </c>
      <c r="B1" s="7" t="s">
        <v>48</v>
      </c>
      <c r="C1" s="7" t="s">
        <v>40</v>
      </c>
      <c r="D1" s="7" t="s">
        <v>49</v>
      </c>
      <c r="E1" s="8" t="s">
        <v>50</v>
      </c>
      <c r="F1" s="8" t="s">
        <v>41</v>
      </c>
      <c r="G1" s="8" t="s">
        <v>51</v>
      </c>
      <c r="H1" s="8" t="s">
        <v>54</v>
      </c>
      <c r="I1" s="21" t="s">
        <v>53</v>
      </c>
      <c r="J1" s="21" t="s">
        <v>52</v>
      </c>
      <c r="K1" s="8" t="s">
        <v>42</v>
      </c>
      <c r="L1" s="8" t="s">
        <v>393</v>
      </c>
      <c r="M1" s="8" t="s">
        <v>394</v>
      </c>
      <c r="N1" s="22" t="s">
        <v>395</v>
      </c>
      <c r="O1" s="22" t="s">
        <v>43</v>
      </c>
    </row>
    <row r="2" spans="1:15">
      <c r="A2" s="9" t="s">
        <v>288</v>
      </c>
      <c r="B2" s="10">
        <v>1</v>
      </c>
      <c r="C2" s="11" t="s">
        <v>44</v>
      </c>
      <c r="D2" s="9"/>
      <c r="E2" s="9"/>
      <c r="F2" s="11" t="s">
        <v>289</v>
      </c>
      <c r="G2" s="12">
        <v>45905</v>
      </c>
      <c r="H2" s="12" t="s">
        <v>290</v>
      </c>
      <c r="I2" s="9" t="s">
        <v>291</v>
      </c>
      <c r="J2" s="9" t="s">
        <v>292</v>
      </c>
      <c r="K2" s="9" t="s">
        <v>45</v>
      </c>
      <c r="L2" s="9" t="s">
        <v>46</v>
      </c>
      <c r="M2" s="9" t="s">
        <v>46</v>
      </c>
      <c r="N2" s="2" t="s">
        <v>46</v>
      </c>
      <c r="O2" s="2" t="s">
        <v>47</v>
      </c>
    </row>
    <row r="3" spans="1:15">
      <c r="A3" s="9" t="s">
        <v>293</v>
      </c>
      <c r="B3" s="10">
        <v>1</v>
      </c>
      <c r="C3" s="11" t="s">
        <v>44</v>
      </c>
      <c r="D3" s="9"/>
      <c r="E3" s="9"/>
      <c r="F3" s="11" t="s">
        <v>289</v>
      </c>
      <c r="G3" s="12">
        <v>45905</v>
      </c>
      <c r="H3" s="12" t="s">
        <v>294</v>
      </c>
      <c r="I3" s="9" t="s">
        <v>295</v>
      </c>
      <c r="J3" s="9" t="s">
        <v>296</v>
      </c>
      <c r="K3" s="9" t="s">
        <v>45</v>
      </c>
      <c r="L3" s="9" t="s">
        <v>46</v>
      </c>
      <c r="M3" s="9" t="s">
        <v>46</v>
      </c>
      <c r="N3" s="2" t="s">
        <v>46</v>
      </c>
      <c r="O3" s="2" t="s">
        <v>47</v>
      </c>
    </row>
    <row r="4" spans="1:15">
      <c r="A4" s="9" t="s">
        <v>297</v>
      </c>
      <c r="B4" s="10">
        <v>1</v>
      </c>
      <c r="C4" s="11" t="s">
        <v>44</v>
      </c>
      <c r="D4" s="9"/>
      <c r="E4" s="9"/>
      <c r="F4" s="11" t="s">
        <v>289</v>
      </c>
      <c r="G4" s="12">
        <v>45905</v>
      </c>
      <c r="H4" s="12" t="s">
        <v>298</v>
      </c>
      <c r="I4" s="9" t="s">
        <v>299</v>
      </c>
      <c r="J4" s="9" t="s">
        <v>300</v>
      </c>
      <c r="K4" s="9" t="s">
        <v>45</v>
      </c>
      <c r="L4" s="9" t="s">
        <v>46</v>
      </c>
      <c r="M4" s="9" t="s">
        <v>46</v>
      </c>
      <c r="N4" s="2" t="s">
        <v>46</v>
      </c>
      <c r="O4" s="2" t="s">
        <v>47</v>
      </c>
    </row>
    <row r="5" spans="1:15">
      <c r="A5" s="9" t="s">
        <v>301</v>
      </c>
      <c r="B5" s="10">
        <v>1</v>
      </c>
      <c r="C5" s="11" t="s">
        <v>44</v>
      </c>
      <c r="D5" s="9"/>
      <c r="E5" s="9" t="s">
        <v>302</v>
      </c>
      <c r="F5" s="11" t="s">
        <v>289</v>
      </c>
      <c r="G5" s="12">
        <v>45905</v>
      </c>
      <c r="H5" s="12" t="s">
        <v>303</v>
      </c>
      <c r="I5" s="9" t="s">
        <v>304</v>
      </c>
      <c r="J5" s="9" t="s">
        <v>305</v>
      </c>
      <c r="K5" s="9" t="s">
        <v>45</v>
      </c>
      <c r="L5" s="9" t="s">
        <v>46</v>
      </c>
      <c r="M5" s="9" t="s">
        <v>46</v>
      </c>
      <c r="N5" s="2" t="s">
        <v>46</v>
      </c>
      <c r="O5" s="2" t="s">
        <v>47</v>
      </c>
    </row>
    <row r="6" spans="1:15">
      <c r="A6" s="9" t="s">
        <v>306</v>
      </c>
      <c r="B6" s="10">
        <v>1</v>
      </c>
      <c r="C6" s="11" t="s">
        <v>44</v>
      </c>
      <c r="D6" s="9"/>
      <c r="E6" s="9"/>
      <c r="F6" s="11" t="s">
        <v>289</v>
      </c>
      <c r="G6" s="12">
        <v>45905</v>
      </c>
      <c r="H6" s="12" t="s">
        <v>307</v>
      </c>
      <c r="I6" s="9" t="s">
        <v>308</v>
      </c>
      <c r="J6" s="9" t="s">
        <v>309</v>
      </c>
      <c r="K6" s="9" t="s">
        <v>45</v>
      </c>
      <c r="L6" s="9" t="s">
        <v>46</v>
      </c>
      <c r="M6" s="9" t="s">
        <v>310</v>
      </c>
      <c r="N6" s="2" t="s">
        <v>310</v>
      </c>
      <c r="O6" s="2" t="s">
        <v>47</v>
      </c>
    </row>
    <row r="7" spans="1:15">
      <c r="A7" s="9" t="s">
        <v>311</v>
      </c>
      <c r="B7" s="10">
        <v>1</v>
      </c>
      <c r="C7" s="11" t="s">
        <v>44</v>
      </c>
      <c r="D7" s="9"/>
      <c r="E7" s="9" t="s">
        <v>312</v>
      </c>
      <c r="F7" s="11" t="s">
        <v>289</v>
      </c>
      <c r="G7" s="12">
        <v>45909</v>
      </c>
      <c r="H7" s="12" t="s">
        <v>313</v>
      </c>
      <c r="I7" s="9" t="s">
        <v>314</v>
      </c>
      <c r="J7" s="9" t="s">
        <v>315</v>
      </c>
      <c r="K7" s="9" t="s">
        <v>45</v>
      </c>
      <c r="L7" s="9" t="s">
        <v>46</v>
      </c>
      <c r="M7" s="9" t="s">
        <v>46</v>
      </c>
      <c r="N7" s="2" t="s">
        <v>310</v>
      </c>
      <c r="O7" s="2" t="s">
        <v>47</v>
      </c>
    </row>
    <row r="8" spans="1:15">
      <c r="A8" s="9" t="s">
        <v>316</v>
      </c>
      <c r="B8" s="10">
        <v>1</v>
      </c>
      <c r="C8" s="11" t="s">
        <v>44</v>
      </c>
      <c r="D8" s="9"/>
      <c r="E8" s="9"/>
      <c r="F8" s="11" t="s">
        <v>289</v>
      </c>
      <c r="G8" s="12">
        <v>45909</v>
      </c>
      <c r="H8" s="12" t="s">
        <v>317</v>
      </c>
      <c r="I8" s="9" t="s">
        <v>318</v>
      </c>
      <c r="J8" s="9" t="s">
        <v>319</v>
      </c>
      <c r="K8" s="9" t="s">
        <v>45</v>
      </c>
      <c r="L8" s="9" t="s">
        <v>46</v>
      </c>
      <c r="M8" s="9" t="s">
        <v>46</v>
      </c>
      <c r="N8" s="2" t="s">
        <v>46</v>
      </c>
      <c r="O8" s="2" t="s">
        <v>47</v>
      </c>
    </row>
    <row r="9" spans="1:15">
      <c r="A9" s="9" t="s">
        <v>320</v>
      </c>
      <c r="B9" s="10">
        <v>1</v>
      </c>
      <c r="C9" s="11" t="s">
        <v>44</v>
      </c>
      <c r="D9" s="9"/>
      <c r="E9" s="9"/>
      <c r="F9" s="11" t="s">
        <v>289</v>
      </c>
      <c r="G9" s="12">
        <v>45909</v>
      </c>
      <c r="H9" s="12" t="s">
        <v>321</v>
      </c>
      <c r="I9" s="9" t="s">
        <v>322</v>
      </c>
      <c r="J9" s="9" t="s">
        <v>323</v>
      </c>
      <c r="K9" s="9" t="s">
        <v>45</v>
      </c>
      <c r="L9" s="9" t="s">
        <v>46</v>
      </c>
      <c r="M9" s="9" t="s">
        <v>46</v>
      </c>
      <c r="N9" s="2" t="s">
        <v>46</v>
      </c>
      <c r="O9" s="2" t="s">
        <v>47</v>
      </c>
    </row>
    <row r="10" spans="1:15">
      <c r="A10" s="9" t="s">
        <v>324</v>
      </c>
      <c r="B10" s="10">
        <v>1</v>
      </c>
      <c r="C10" s="11" t="s">
        <v>44</v>
      </c>
      <c r="D10" s="9"/>
      <c r="E10" s="9"/>
      <c r="F10" s="11" t="s">
        <v>289</v>
      </c>
      <c r="G10" s="12">
        <v>45909</v>
      </c>
      <c r="H10" s="12" t="s">
        <v>325</v>
      </c>
      <c r="I10" s="9" t="s">
        <v>326</v>
      </c>
      <c r="J10" s="9" t="s">
        <v>327</v>
      </c>
      <c r="K10" s="9" t="s">
        <v>45</v>
      </c>
      <c r="L10" s="9" t="s">
        <v>46</v>
      </c>
      <c r="M10" s="9" t="s">
        <v>46</v>
      </c>
      <c r="N10" s="2" t="s">
        <v>310</v>
      </c>
      <c r="O10" s="2" t="s">
        <v>47</v>
      </c>
    </row>
    <row r="11" spans="1:15">
      <c r="A11" s="9" t="s">
        <v>328</v>
      </c>
      <c r="B11" s="10">
        <v>1</v>
      </c>
      <c r="C11" s="11" t="s">
        <v>44</v>
      </c>
      <c r="D11" s="9"/>
      <c r="E11" s="9"/>
      <c r="F11" s="11" t="s">
        <v>289</v>
      </c>
      <c r="G11" s="12">
        <v>45909</v>
      </c>
      <c r="H11" s="12" t="s">
        <v>329</v>
      </c>
      <c r="I11" s="9" t="s">
        <v>330</v>
      </c>
      <c r="J11" s="9" t="s">
        <v>331</v>
      </c>
      <c r="K11" s="9" t="s">
        <v>45</v>
      </c>
      <c r="L11" s="9" t="s">
        <v>46</v>
      </c>
      <c r="M11" s="9" t="s">
        <v>46</v>
      </c>
      <c r="N11" s="2" t="s">
        <v>46</v>
      </c>
      <c r="O11" s="2" t="s">
        <v>47</v>
      </c>
    </row>
    <row r="12" spans="1:15">
      <c r="A12" s="9" t="s">
        <v>332</v>
      </c>
      <c r="B12" s="10">
        <v>1</v>
      </c>
      <c r="C12" s="11" t="s">
        <v>44</v>
      </c>
      <c r="D12" s="9"/>
      <c r="E12" s="9"/>
      <c r="F12" s="11" t="s">
        <v>289</v>
      </c>
      <c r="G12" s="12">
        <v>45909</v>
      </c>
      <c r="H12" s="12" t="s">
        <v>333</v>
      </c>
      <c r="I12" s="9" t="s">
        <v>334</v>
      </c>
      <c r="J12" s="9" t="s">
        <v>335</v>
      </c>
      <c r="K12" s="9" t="s">
        <v>45</v>
      </c>
      <c r="L12" s="9" t="s">
        <v>46</v>
      </c>
      <c r="M12" s="9" t="s">
        <v>46</v>
      </c>
      <c r="N12" s="2" t="s">
        <v>46</v>
      </c>
      <c r="O12" s="2" t="s">
        <v>47</v>
      </c>
    </row>
    <row r="13" spans="1:15">
      <c r="A13" s="9" t="s">
        <v>336</v>
      </c>
      <c r="B13" s="10">
        <v>1</v>
      </c>
      <c r="C13" s="11" t="s">
        <v>44</v>
      </c>
      <c r="D13" s="9"/>
      <c r="E13" s="9"/>
      <c r="F13" s="11" t="s">
        <v>289</v>
      </c>
      <c r="G13" s="12">
        <v>45909</v>
      </c>
      <c r="H13" s="12" t="s">
        <v>337</v>
      </c>
      <c r="I13" s="9" t="s">
        <v>338</v>
      </c>
      <c r="J13" s="9" t="s">
        <v>339</v>
      </c>
      <c r="K13" s="9" t="s">
        <v>45</v>
      </c>
      <c r="L13" s="9" t="s">
        <v>46</v>
      </c>
      <c r="M13" s="9" t="s">
        <v>46</v>
      </c>
      <c r="N13" s="2" t="s">
        <v>310</v>
      </c>
      <c r="O13" s="2" t="s">
        <v>47</v>
      </c>
    </row>
    <row r="14" spans="1:15">
      <c r="A14" s="9" t="s">
        <v>340</v>
      </c>
      <c r="B14" s="10">
        <v>1</v>
      </c>
      <c r="C14" s="11" t="s">
        <v>44</v>
      </c>
      <c r="D14" s="9"/>
      <c r="E14" s="9"/>
      <c r="F14" s="11" t="s">
        <v>289</v>
      </c>
      <c r="G14" s="12">
        <v>45909</v>
      </c>
      <c r="H14" s="12" t="s">
        <v>341</v>
      </c>
      <c r="I14" s="9" t="s">
        <v>342</v>
      </c>
      <c r="J14" s="9" t="s">
        <v>343</v>
      </c>
      <c r="K14" s="9" t="s">
        <v>45</v>
      </c>
      <c r="L14" s="9" t="s">
        <v>310</v>
      </c>
      <c r="M14" s="9" t="s">
        <v>46</v>
      </c>
      <c r="N14" s="2" t="s">
        <v>310</v>
      </c>
      <c r="O14" s="2" t="s">
        <v>47</v>
      </c>
    </row>
    <row r="15" spans="1:15">
      <c r="A15" s="9" t="s">
        <v>344</v>
      </c>
      <c r="B15" s="10">
        <v>1</v>
      </c>
      <c r="C15" s="11" t="s">
        <v>44</v>
      </c>
      <c r="D15" s="9"/>
      <c r="E15" s="9"/>
      <c r="F15" s="11" t="s">
        <v>289</v>
      </c>
      <c r="G15" s="12">
        <v>45909</v>
      </c>
      <c r="H15" s="12" t="s">
        <v>345</v>
      </c>
      <c r="I15" s="9" t="s">
        <v>346</v>
      </c>
      <c r="J15" s="9" t="s">
        <v>347</v>
      </c>
      <c r="K15" s="9" t="s">
        <v>45</v>
      </c>
      <c r="L15" s="9" t="s">
        <v>310</v>
      </c>
      <c r="M15" s="9" t="s">
        <v>46</v>
      </c>
      <c r="N15" s="2" t="s">
        <v>46</v>
      </c>
      <c r="O15" s="2" t="s">
        <v>47</v>
      </c>
    </row>
    <row r="16" spans="1:15">
      <c r="A16" s="9" t="s">
        <v>348</v>
      </c>
      <c r="B16" s="10">
        <v>1</v>
      </c>
      <c r="C16" s="11" t="s">
        <v>44</v>
      </c>
      <c r="D16" s="9"/>
      <c r="E16" s="9"/>
      <c r="F16" s="11" t="s">
        <v>289</v>
      </c>
      <c r="G16" s="12">
        <v>45909</v>
      </c>
      <c r="H16" s="12" t="s">
        <v>349</v>
      </c>
      <c r="I16" s="9" t="s">
        <v>350</v>
      </c>
      <c r="J16" s="9" t="s">
        <v>351</v>
      </c>
      <c r="K16" s="9" t="s">
        <v>45</v>
      </c>
      <c r="L16" s="9" t="s">
        <v>46</v>
      </c>
      <c r="M16" s="9" t="s">
        <v>46</v>
      </c>
      <c r="N16" s="2" t="s">
        <v>46</v>
      </c>
      <c r="O16" s="2" t="s">
        <v>47</v>
      </c>
    </row>
    <row r="17" spans="1:15">
      <c r="A17" s="9" t="s">
        <v>352</v>
      </c>
      <c r="B17" s="10">
        <v>1</v>
      </c>
      <c r="C17" s="11" t="s">
        <v>44</v>
      </c>
      <c r="D17" s="9"/>
      <c r="E17" s="9"/>
      <c r="F17" s="11" t="s">
        <v>289</v>
      </c>
      <c r="G17" s="12">
        <v>45909</v>
      </c>
      <c r="H17" s="12" t="s">
        <v>353</v>
      </c>
      <c r="I17" s="9" t="s">
        <v>354</v>
      </c>
      <c r="J17" s="9" t="s">
        <v>355</v>
      </c>
      <c r="K17" s="9" t="s">
        <v>45</v>
      </c>
      <c r="L17" s="9" t="s">
        <v>46</v>
      </c>
      <c r="M17" s="9" t="s">
        <v>46</v>
      </c>
      <c r="N17" s="2" t="s">
        <v>46</v>
      </c>
      <c r="O17" s="2" t="s">
        <v>47</v>
      </c>
    </row>
    <row r="18" spans="1:15">
      <c r="A18" s="9" t="s">
        <v>356</v>
      </c>
      <c r="B18" s="10">
        <v>1</v>
      </c>
      <c r="C18" s="11" t="s">
        <v>44</v>
      </c>
      <c r="D18" s="9"/>
      <c r="E18" s="9"/>
      <c r="F18" s="11" t="s">
        <v>289</v>
      </c>
      <c r="G18" s="12">
        <v>45909</v>
      </c>
      <c r="H18" s="12" t="s">
        <v>357</v>
      </c>
      <c r="I18" s="9" t="s">
        <v>358</v>
      </c>
      <c r="J18" s="9" t="s">
        <v>359</v>
      </c>
      <c r="K18" s="9" t="s">
        <v>45</v>
      </c>
      <c r="L18" s="9" t="s">
        <v>46</v>
      </c>
      <c r="M18" s="9" t="s">
        <v>310</v>
      </c>
      <c r="N18" s="2" t="s">
        <v>310</v>
      </c>
      <c r="O18" s="2" t="s">
        <v>47</v>
      </c>
    </row>
    <row r="19" spans="1:15">
      <c r="A19" s="9" t="s">
        <v>360</v>
      </c>
      <c r="B19" s="10">
        <v>1</v>
      </c>
      <c r="C19" s="11" t="s">
        <v>44</v>
      </c>
      <c r="D19" s="9"/>
      <c r="E19" s="9"/>
      <c r="F19" s="11" t="s">
        <v>289</v>
      </c>
      <c r="G19" s="12">
        <v>45910</v>
      </c>
      <c r="H19" s="12" t="s">
        <v>361</v>
      </c>
      <c r="I19" s="9" t="s">
        <v>362</v>
      </c>
      <c r="J19" s="9" t="s">
        <v>363</v>
      </c>
      <c r="K19" s="9" t="s">
        <v>45</v>
      </c>
      <c r="L19" s="9" t="s">
        <v>46</v>
      </c>
      <c r="M19" s="9" t="s">
        <v>310</v>
      </c>
      <c r="N19" s="2" t="s">
        <v>310</v>
      </c>
      <c r="O19" s="2" t="s">
        <v>47</v>
      </c>
    </row>
    <row r="20" spans="1:15">
      <c r="A20" s="9" t="s">
        <v>364</v>
      </c>
      <c r="B20" s="10">
        <v>1</v>
      </c>
      <c r="C20" s="11" t="s">
        <v>44</v>
      </c>
      <c r="D20" s="9"/>
      <c r="E20" s="9"/>
      <c r="F20" s="11" t="s">
        <v>289</v>
      </c>
      <c r="G20" s="12">
        <v>45910</v>
      </c>
      <c r="H20" s="12" t="s">
        <v>365</v>
      </c>
      <c r="I20" s="9" t="s">
        <v>366</v>
      </c>
      <c r="J20" s="9" t="s">
        <v>367</v>
      </c>
      <c r="K20" s="9" t="s">
        <v>45</v>
      </c>
      <c r="L20" s="9" t="s">
        <v>46</v>
      </c>
      <c r="M20" s="9" t="s">
        <v>46</v>
      </c>
      <c r="N20" s="2" t="s">
        <v>46</v>
      </c>
      <c r="O20" s="2" t="s">
        <v>47</v>
      </c>
    </row>
    <row r="21" spans="1:15">
      <c r="A21" s="9" t="s">
        <v>368</v>
      </c>
      <c r="B21" s="10">
        <v>1</v>
      </c>
      <c r="C21" s="11" t="s">
        <v>44</v>
      </c>
      <c r="D21" s="9"/>
      <c r="E21" s="9"/>
      <c r="F21" s="11" t="s">
        <v>289</v>
      </c>
      <c r="G21" s="12">
        <v>45910</v>
      </c>
      <c r="H21" s="12" t="s">
        <v>369</v>
      </c>
      <c r="I21" s="9" t="s">
        <v>370</v>
      </c>
      <c r="J21" s="9" t="s">
        <v>371</v>
      </c>
      <c r="K21" s="9" t="s">
        <v>45</v>
      </c>
      <c r="L21" s="9" t="s">
        <v>46</v>
      </c>
      <c r="M21" s="9" t="s">
        <v>46</v>
      </c>
      <c r="N21" s="2" t="s">
        <v>46</v>
      </c>
      <c r="O21" s="2" t="s">
        <v>47</v>
      </c>
    </row>
    <row r="22" spans="1:15">
      <c r="A22" s="9" t="s">
        <v>372</v>
      </c>
      <c r="B22" s="10">
        <v>1</v>
      </c>
      <c r="C22" s="11" t="s">
        <v>44</v>
      </c>
      <c r="D22" s="9"/>
      <c r="E22" s="9"/>
      <c r="F22" s="11" t="s">
        <v>289</v>
      </c>
      <c r="G22" s="12">
        <v>45910</v>
      </c>
      <c r="H22" s="12" t="s">
        <v>373</v>
      </c>
      <c r="I22" s="9" t="s">
        <v>374</v>
      </c>
      <c r="J22" s="9" t="s">
        <v>375</v>
      </c>
      <c r="K22" s="9" t="s">
        <v>45</v>
      </c>
      <c r="L22" s="9" t="s">
        <v>46</v>
      </c>
      <c r="M22" s="9" t="s">
        <v>46</v>
      </c>
      <c r="N22" s="2" t="s">
        <v>310</v>
      </c>
      <c r="O22" s="2" t="s">
        <v>47</v>
      </c>
    </row>
    <row r="23" spans="1:15">
      <c r="A23" s="9" t="s">
        <v>376</v>
      </c>
      <c r="B23" s="10">
        <v>1</v>
      </c>
      <c r="C23" s="11" t="s">
        <v>44</v>
      </c>
      <c r="D23" s="9"/>
      <c r="E23" s="9" t="s">
        <v>377</v>
      </c>
      <c r="F23" s="11" t="s">
        <v>289</v>
      </c>
      <c r="G23" s="12">
        <v>45910</v>
      </c>
      <c r="H23" s="12" t="s">
        <v>378</v>
      </c>
      <c r="I23" s="9" t="s">
        <v>379</v>
      </c>
      <c r="J23" s="9" t="s">
        <v>380</v>
      </c>
      <c r="K23" s="9" t="s">
        <v>45</v>
      </c>
      <c r="L23" s="9" t="s">
        <v>46</v>
      </c>
      <c r="M23" s="9" t="s">
        <v>46</v>
      </c>
      <c r="N23" s="2" t="s">
        <v>46</v>
      </c>
      <c r="O23" s="2" t="s">
        <v>47</v>
      </c>
    </row>
    <row r="24" spans="1:15">
      <c r="A24" s="9" t="s">
        <v>381</v>
      </c>
      <c r="B24" s="10">
        <v>1</v>
      </c>
      <c r="C24" s="11" t="s">
        <v>44</v>
      </c>
      <c r="D24" s="9"/>
      <c r="E24" s="9" t="s">
        <v>377</v>
      </c>
      <c r="F24" s="11" t="s">
        <v>289</v>
      </c>
      <c r="G24" s="12">
        <v>45910</v>
      </c>
      <c r="H24" s="12" t="s">
        <v>382</v>
      </c>
      <c r="I24" s="9" t="s">
        <v>383</v>
      </c>
      <c r="J24" s="9" t="s">
        <v>384</v>
      </c>
      <c r="K24" s="9" t="s">
        <v>45</v>
      </c>
      <c r="L24" s="9" t="s">
        <v>46</v>
      </c>
      <c r="M24" s="9" t="s">
        <v>46</v>
      </c>
      <c r="N24" s="2" t="s">
        <v>46</v>
      </c>
      <c r="O24" s="2" t="s">
        <v>47</v>
      </c>
    </row>
    <row r="25" spans="1:15">
      <c r="A25" s="9" t="s">
        <v>385</v>
      </c>
      <c r="B25" s="10">
        <v>1</v>
      </c>
      <c r="C25" s="11" t="s">
        <v>44</v>
      </c>
      <c r="D25" s="9"/>
      <c r="E25" s="9" t="s">
        <v>386</v>
      </c>
      <c r="F25" s="11" t="s">
        <v>289</v>
      </c>
      <c r="G25" s="12">
        <v>45910</v>
      </c>
      <c r="H25" s="12" t="s">
        <v>387</v>
      </c>
      <c r="I25" s="9" t="s">
        <v>388</v>
      </c>
      <c r="J25" s="9" t="s">
        <v>389</v>
      </c>
      <c r="K25" s="9" t="s">
        <v>45</v>
      </c>
      <c r="L25" s="9" t="s">
        <v>46</v>
      </c>
      <c r="M25" s="9" t="s">
        <v>46</v>
      </c>
      <c r="N25" s="2" t="s">
        <v>46</v>
      </c>
      <c r="O25" s="2" t="s">
        <v>47</v>
      </c>
    </row>
    <row r="26" spans="1:15">
      <c r="A26" s="31" t="s">
        <v>390</v>
      </c>
      <c r="B26" s="10">
        <v>1</v>
      </c>
      <c r="C26" s="11" t="s">
        <v>44</v>
      </c>
      <c r="D26" s="9"/>
      <c r="E26" s="9"/>
      <c r="F26" s="11" t="s">
        <v>289</v>
      </c>
      <c r="G26" s="12">
        <v>45910</v>
      </c>
      <c r="H26" s="12" t="s">
        <v>391</v>
      </c>
      <c r="I26" s="9" t="s">
        <v>374</v>
      </c>
      <c r="J26" s="9" t="s">
        <v>392</v>
      </c>
      <c r="K26" s="9" t="s">
        <v>45</v>
      </c>
      <c r="L26" s="9" t="s">
        <v>46</v>
      </c>
      <c r="M26" s="9" t="s">
        <v>46</v>
      </c>
      <c r="N26" s="2" t="s">
        <v>46</v>
      </c>
      <c r="O26" s="2" t="s">
        <v>47</v>
      </c>
    </row>
    <row r="27" spans="1:15">
      <c r="A27" s="9" t="s">
        <v>479</v>
      </c>
      <c r="B27" s="10">
        <v>1</v>
      </c>
      <c r="C27" s="11" t="s">
        <v>44</v>
      </c>
      <c r="D27" s="9"/>
      <c r="E27" s="9"/>
      <c r="F27" s="11" t="s">
        <v>289</v>
      </c>
      <c r="G27" s="12">
        <v>45910</v>
      </c>
      <c r="H27" s="12" t="s">
        <v>480</v>
      </c>
      <c r="I27" s="9" t="s">
        <v>481</v>
      </c>
      <c r="J27" s="9" t="s">
        <v>482</v>
      </c>
      <c r="K27" s="9" t="s">
        <v>45</v>
      </c>
      <c r="L27" s="9" t="s">
        <v>46</v>
      </c>
      <c r="M27" s="9" t="s">
        <v>46</v>
      </c>
      <c r="N27" s="2" t="s">
        <v>46</v>
      </c>
      <c r="O27" s="2" t="s">
        <v>47</v>
      </c>
    </row>
    <row r="28" spans="1:15">
      <c r="A28" s="9" t="s">
        <v>483</v>
      </c>
      <c r="B28" s="10">
        <v>1</v>
      </c>
      <c r="C28" s="11" t="s">
        <v>44</v>
      </c>
      <c r="D28" s="9"/>
      <c r="E28" s="9"/>
      <c r="F28" s="11" t="s">
        <v>289</v>
      </c>
      <c r="G28" s="12">
        <v>45912</v>
      </c>
      <c r="H28" s="12" t="s">
        <v>484</v>
      </c>
      <c r="I28" s="9" t="s">
        <v>485</v>
      </c>
      <c r="J28" s="9" t="s">
        <v>564</v>
      </c>
      <c r="K28" s="9" t="s">
        <v>45</v>
      </c>
      <c r="L28" s="9" t="s">
        <v>46</v>
      </c>
      <c r="M28" s="9" t="s">
        <v>46</v>
      </c>
      <c r="N28" s="2" t="s">
        <v>310</v>
      </c>
      <c r="O28" s="2" t="s">
        <v>47</v>
      </c>
    </row>
    <row r="29" spans="1:15">
      <c r="A29" s="9" t="s">
        <v>486</v>
      </c>
      <c r="B29" s="10">
        <v>1</v>
      </c>
      <c r="C29" s="11" t="s">
        <v>44</v>
      </c>
      <c r="D29" s="9"/>
      <c r="E29" s="9"/>
      <c r="F29" s="11" t="s">
        <v>289</v>
      </c>
      <c r="G29" s="12">
        <v>45912</v>
      </c>
      <c r="H29" s="12" t="s">
        <v>487</v>
      </c>
      <c r="I29" s="9" t="s">
        <v>488</v>
      </c>
      <c r="J29" s="9" t="s">
        <v>489</v>
      </c>
      <c r="K29" s="9" t="s">
        <v>45</v>
      </c>
      <c r="L29" s="9" t="s">
        <v>46</v>
      </c>
      <c r="M29" s="9" t="s">
        <v>46</v>
      </c>
      <c r="N29" s="2" t="s">
        <v>46</v>
      </c>
      <c r="O29" s="2" t="s">
        <v>47</v>
      </c>
    </row>
    <row r="30" spans="1:15">
      <c r="A30" s="9" t="s">
        <v>490</v>
      </c>
      <c r="B30" s="10">
        <v>1</v>
      </c>
      <c r="C30" s="11" t="s">
        <v>44</v>
      </c>
      <c r="D30" s="9"/>
      <c r="E30" s="9"/>
      <c r="F30" s="11" t="s">
        <v>289</v>
      </c>
      <c r="G30" s="12">
        <v>45912</v>
      </c>
      <c r="H30" s="12" t="s">
        <v>491</v>
      </c>
      <c r="I30" s="9" t="s">
        <v>492</v>
      </c>
      <c r="J30" s="9" t="s">
        <v>566</v>
      </c>
      <c r="K30" s="9" t="s">
        <v>45</v>
      </c>
      <c r="L30" s="9" t="s">
        <v>46</v>
      </c>
      <c r="M30" s="9" t="s">
        <v>46</v>
      </c>
      <c r="N30" s="2" t="s">
        <v>46</v>
      </c>
      <c r="O30" s="2" t="s">
        <v>47</v>
      </c>
    </row>
    <row r="31" spans="1:15">
      <c r="A31" s="9" t="s">
        <v>493</v>
      </c>
      <c r="B31" s="10">
        <v>1</v>
      </c>
      <c r="C31" s="11" t="s">
        <v>44</v>
      </c>
      <c r="D31" s="9"/>
      <c r="E31" s="9"/>
      <c r="F31" s="11" t="s">
        <v>289</v>
      </c>
      <c r="G31" s="12">
        <v>45912</v>
      </c>
      <c r="H31" s="12" t="s">
        <v>494</v>
      </c>
      <c r="I31" s="9" t="s">
        <v>495</v>
      </c>
      <c r="J31" s="9" t="s">
        <v>496</v>
      </c>
      <c r="K31" s="9" t="s">
        <v>45</v>
      </c>
      <c r="L31" s="9" t="s">
        <v>46</v>
      </c>
      <c r="M31" s="9" t="s">
        <v>46</v>
      </c>
      <c r="N31" s="2" t="s">
        <v>46</v>
      </c>
      <c r="O31" s="2" t="s">
        <v>47</v>
      </c>
    </row>
    <row r="32" spans="1:15">
      <c r="A32" s="9" t="s">
        <v>497</v>
      </c>
      <c r="B32" s="10">
        <v>1</v>
      </c>
      <c r="C32" s="11" t="s">
        <v>44</v>
      </c>
      <c r="D32" s="9"/>
      <c r="E32" s="9"/>
      <c r="F32" s="11" t="s">
        <v>289</v>
      </c>
      <c r="G32" s="12">
        <v>45912</v>
      </c>
      <c r="H32" s="12" t="s">
        <v>498</v>
      </c>
      <c r="I32" s="9" t="s">
        <v>499</v>
      </c>
      <c r="J32" s="9" t="s">
        <v>500</v>
      </c>
      <c r="K32" s="9" t="s">
        <v>45</v>
      </c>
      <c r="L32" s="9" t="s">
        <v>46</v>
      </c>
      <c r="M32" s="9" t="s">
        <v>46</v>
      </c>
      <c r="N32" s="2" t="s">
        <v>46</v>
      </c>
      <c r="O32" s="2" t="s">
        <v>47</v>
      </c>
    </row>
    <row r="33" spans="1:15">
      <c r="A33" s="9" t="s">
        <v>501</v>
      </c>
      <c r="B33" s="10">
        <v>1</v>
      </c>
      <c r="C33" s="11" t="s">
        <v>44</v>
      </c>
      <c r="D33" s="9"/>
      <c r="E33" s="9"/>
      <c r="F33" s="11" t="s">
        <v>289</v>
      </c>
      <c r="G33" s="12">
        <v>45912</v>
      </c>
      <c r="H33" s="12" t="s">
        <v>502</v>
      </c>
      <c r="I33" s="9" t="s">
        <v>503</v>
      </c>
      <c r="J33" s="9" t="s">
        <v>504</v>
      </c>
      <c r="K33" s="9" t="s">
        <v>45</v>
      </c>
      <c r="L33" s="9" t="s">
        <v>46</v>
      </c>
      <c r="M33" s="9" t="s">
        <v>46</v>
      </c>
      <c r="N33" s="2" t="s">
        <v>46</v>
      </c>
      <c r="O33" s="2" t="s">
        <v>47</v>
      </c>
    </row>
    <row r="34" spans="1:15">
      <c r="A34" s="9" t="s">
        <v>505</v>
      </c>
      <c r="B34" s="10">
        <v>1</v>
      </c>
      <c r="C34" s="11" t="s">
        <v>44</v>
      </c>
      <c r="D34" s="9"/>
      <c r="E34" s="9"/>
      <c r="F34" s="11" t="s">
        <v>289</v>
      </c>
      <c r="G34" s="12">
        <v>45912</v>
      </c>
      <c r="H34" s="12" t="s">
        <v>506</v>
      </c>
      <c r="I34" s="9" t="s">
        <v>507</v>
      </c>
      <c r="J34" s="9" t="s">
        <v>508</v>
      </c>
      <c r="K34" s="9" t="s">
        <v>45</v>
      </c>
      <c r="L34" s="9" t="s">
        <v>46</v>
      </c>
      <c r="M34" s="9" t="s">
        <v>46</v>
      </c>
      <c r="N34" s="2" t="s">
        <v>46</v>
      </c>
      <c r="O34" s="2" t="s">
        <v>47</v>
      </c>
    </row>
    <row r="35" spans="1:15">
      <c r="A35" s="9" t="s">
        <v>509</v>
      </c>
      <c r="B35" s="10">
        <v>1</v>
      </c>
      <c r="C35" s="11" t="s">
        <v>44</v>
      </c>
      <c r="D35" s="9"/>
      <c r="E35" s="9"/>
      <c r="F35" s="11" t="s">
        <v>289</v>
      </c>
      <c r="G35" s="12">
        <v>45916</v>
      </c>
      <c r="H35" s="12" t="s">
        <v>510</v>
      </c>
      <c r="I35" s="9" t="s">
        <v>565</v>
      </c>
      <c r="J35" s="9" t="s">
        <v>511</v>
      </c>
      <c r="K35" s="9" t="s">
        <v>45</v>
      </c>
      <c r="L35" s="9" t="s">
        <v>46</v>
      </c>
      <c r="M35" s="9" t="s">
        <v>46</v>
      </c>
      <c r="N35" s="2" t="s">
        <v>46</v>
      </c>
      <c r="O35" s="2" t="s">
        <v>47</v>
      </c>
    </row>
    <row r="36" spans="1:15">
      <c r="A36" s="9" t="s">
        <v>512</v>
      </c>
      <c r="B36" s="10">
        <v>1</v>
      </c>
      <c r="C36" s="11" t="s">
        <v>44</v>
      </c>
      <c r="D36" s="9"/>
      <c r="E36" s="9"/>
      <c r="F36" s="11" t="s">
        <v>289</v>
      </c>
      <c r="G36" s="12">
        <v>45916</v>
      </c>
      <c r="H36" s="12" t="s">
        <v>513</v>
      </c>
      <c r="I36" s="9" t="s">
        <v>514</v>
      </c>
      <c r="J36" s="9" t="s">
        <v>515</v>
      </c>
      <c r="K36" s="9" t="s">
        <v>45</v>
      </c>
      <c r="L36" s="9" t="s">
        <v>46</v>
      </c>
      <c r="M36" s="9" t="s">
        <v>46</v>
      </c>
      <c r="N36" s="2" t="s">
        <v>46</v>
      </c>
      <c r="O36" s="2" t="s">
        <v>47</v>
      </c>
    </row>
    <row r="37" spans="1:15">
      <c r="A37" s="9" t="s">
        <v>516</v>
      </c>
      <c r="B37" s="10">
        <v>1</v>
      </c>
      <c r="C37" s="11" t="s">
        <v>44</v>
      </c>
      <c r="D37" s="9"/>
      <c r="E37" s="9"/>
      <c r="F37" s="11" t="s">
        <v>289</v>
      </c>
      <c r="G37" s="12">
        <v>45916</v>
      </c>
      <c r="H37" s="12" t="s">
        <v>517</v>
      </c>
      <c r="I37" s="9" t="s">
        <v>518</v>
      </c>
      <c r="J37" s="9" t="s">
        <v>519</v>
      </c>
      <c r="K37" s="9" t="s">
        <v>45</v>
      </c>
      <c r="L37" s="9" t="s">
        <v>46</v>
      </c>
      <c r="M37" s="9" t="s">
        <v>46</v>
      </c>
      <c r="N37" s="2" t="s">
        <v>46</v>
      </c>
      <c r="O37" s="2" t="s">
        <v>47</v>
      </c>
    </row>
    <row r="38" spans="1:15">
      <c r="A38" s="9" t="s">
        <v>520</v>
      </c>
      <c r="B38" s="10">
        <v>1</v>
      </c>
      <c r="C38" s="11" t="s">
        <v>44</v>
      </c>
      <c r="D38" s="9"/>
      <c r="E38" s="9"/>
      <c r="F38" s="11" t="s">
        <v>521</v>
      </c>
      <c r="G38" s="12">
        <v>45916</v>
      </c>
      <c r="H38" s="12" t="s">
        <v>522</v>
      </c>
      <c r="I38" s="9" t="s">
        <v>523</v>
      </c>
      <c r="J38" s="9" t="s">
        <v>524</v>
      </c>
      <c r="K38" s="9" t="s">
        <v>45</v>
      </c>
      <c r="L38" s="9" t="s">
        <v>46</v>
      </c>
      <c r="M38" s="9" t="s">
        <v>46</v>
      </c>
      <c r="N38" s="2" t="s">
        <v>46</v>
      </c>
      <c r="O38" s="2" t="s">
        <v>47</v>
      </c>
    </row>
    <row r="39" spans="1:15">
      <c r="A39" s="9" t="s">
        <v>525</v>
      </c>
      <c r="B39" s="10">
        <v>1</v>
      </c>
      <c r="C39" s="11" t="s">
        <v>44</v>
      </c>
      <c r="D39" s="9"/>
      <c r="E39" s="9"/>
      <c r="F39" s="11" t="s">
        <v>521</v>
      </c>
      <c r="G39" s="12">
        <v>45916</v>
      </c>
      <c r="H39" s="12" t="s">
        <v>526</v>
      </c>
      <c r="I39" s="9" t="s">
        <v>527</v>
      </c>
      <c r="J39" s="9" t="s">
        <v>528</v>
      </c>
      <c r="K39" s="9" t="s">
        <v>45</v>
      </c>
      <c r="L39" s="9" t="s">
        <v>46</v>
      </c>
      <c r="M39" s="9" t="s">
        <v>46</v>
      </c>
      <c r="N39" s="2" t="s">
        <v>46</v>
      </c>
      <c r="O39" s="2" t="s">
        <v>47</v>
      </c>
    </row>
    <row r="40" spans="1:15">
      <c r="A40" s="9" t="s">
        <v>529</v>
      </c>
      <c r="B40" s="10">
        <v>1</v>
      </c>
      <c r="C40" s="11" t="s">
        <v>44</v>
      </c>
      <c r="D40" s="9"/>
      <c r="E40" s="9"/>
      <c r="F40" s="11" t="s">
        <v>521</v>
      </c>
      <c r="G40" s="12">
        <v>45916</v>
      </c>
      <c r="H40" s="12" t="s">
        <v>530</v>
      </c>
      <c r="I40" s="9" t="s">
        <v>531</v>
      </c>
      <c r="J40" s="9" t="s">
        <v>532</v>
      </c>
      <c r="K40" s="9" t="s">
        <v>45</v>
      </c>
      <c r="L40" s="9" t="s">
        <v>46</v>
      </c>
      <c r="M40" s="9" t="s">
        <v>46</v>
      </c>
      <c r="N40" s="2" t="s">
        <v>46</v>
      </c>
      <c r="O40" s="2" t="s">
        <v>47</v>
      </c>
    </row>
    <row r="41" spans="1:15">
      <c r="A41" s="9" t="s">
        <v>533</v>
      </c>
      <c r="B41" s="10">
        <v>1</v>
      </c>
      <c r="C41" s="11" t="s">
        <v>44</v>
      </c>
      <c r="D41" s="9"/>
      <c r="E41" s="9"/>
      <c r="F41" s="11" t="s">
        <v>289</v>
      </c>
      <c r="G41" s="12">
        <v>45917</v>
      </c>
      <c r="H41" s="12" t="s">
        <v>534</v>
      </c>
      <c r="I41" s="9" t="s">
        <v>535</v>
      </c>
      <c r="J41" s="9" t="s">
        <v>536</v>
      </c>
      <c r="K41" s="9" t="s">
        <v>45</v>
      </c>
      <c r="L41" s="9" t="s">
        <v>310</v>
      </c>
      <c r="M41" s="9" t="s">
        <v>310</v>
      </c>
      <c r="N41" s="2" t="s">
        <v>310</v>
      </c>
      <c r="O41" s="2" t="s">
        <v>47</v>
      </c>
    </row>
    <row r="42" spans="1:15">
      <c r="A42" s="9" t="s">
        <v>537</v>
      </c>
      <c r="B42" s="10">
        <v>1</v>
      </c>
      <c r="C42" s="11" t="s">
        <v>44</v>
      </c>
      <c r="D42" s="9"/>
      <c r="E42" s="9"/>
      <c r="F42" s="11" t="s">
        <v>289</v>
      </c>
      <c r="G42" s="12">
        <v>45917</v>
      </c>
      <c r="H42" s="12" t="s">
        <v>538</v>
      </c>
      <c r="I42" s="9" t="s">
        <v>539</v>
      </c>
      <c r="J42" s="9" t="s">
        <v>540</v>
      </c>
      <c r="K42" s="9" t="s">
        <v>45</v>
      </c>
      <c r="L42" s="9" t="s">
        <v>46</v>
      </c>
      <c r="M42" s="9" t="s">
        <v>46</v>
      </c>
      <c r="N42" s="2" t="s">
        <v>310</v>
      </c>
      <c r="O42" s="2" t="s">
        <v>47</v>
      </c>
    </row>
    <row r="43" spans="1:15">
      <c r="A43" s="9" t="s">
        <v>541</v>
      </c>
      <c r="B43" s="10">
        <v>1</v>
      </c>
      <c r="C43" s="11" t="s">
        <v>44</v>
      </c>
      <c r="D43" s="9"/>
      <c r="E43" s="9"/>
      <c r="F43" s="11" t="s">
        <v>289</v>
      </c>
      <c r="G43" s="12">
        <v>45917</v>
      </c>
      <c r="H43" s="12" t="s">
        <v>542</v>
      </c>
      <c r="I43" s="9" t="s">
        <v>543</v>
      </c>
      <c r="J43" s="9" t="s">
        <v>544</v>
      </c>
      <c r="K43" s="9" t="s">
        <v>45</v>
      </c>
      <c r="L43" s="9" t="s">
        <v>46</v>
      </c>
      <c r="M43" s="9" t="s">
        <v>46</v>
      </c>
      <c r="N43" s="2" t="s">
        <v>46</v>
      </c>
      <c r="O43" s="2" t="s">
        <v>47</v>
      </c>
    </row>
    <row r="44" spans="1:15">
      <c r="A44" s="9" t="s">
        <v>545</v>
      </c>
      <c r="B44" s="10">
        <v>1</v>
      </c>
      <c r="C44" s="11" t="s">
        <v>44</v>
      </c>
      <c r="D44" s="9"/>
      <c r="E44" s="9"/>
      <c r="F44" s="11" t="s">
        <v>289</v>
      </c>
      <c r="G44" s="12">
        <v>45917</v>
      </c>
      <c r="H44" s="12" t="s">
        <v>546</v>
      </c>
      <c r="I44" s="9" t="s">
        <v>547</v>
      </c>
      <c r="J44" s="9" t="s">
        <v>567</v>
      </c>
      <c r="K44" s="9" t="s">
        <v>45</v>
      </c>
      <c r="L44" s="9" t="s">
        <v>310</v>
      </c>
      <c r="M44" s="9" t="s">
        <v>46</v>
      </c>
      <c r="N44" s="2" t="s">
        <v>46</v>
      </c>
      <c r="O44" s="2" t="s">
        <v>47</v>
      </c>
    </row>
    <row r="45" spans="1:15">
      <c r="A45" s="9" t="s">
        <v>548</v>
      </c>
      <c r="B45" s="10">
        <v>1</v>
      </c>
      <c r="C45" s="11" t="s">
        <v>44</v>
      </c>
      <c r="D45" s="9"/>
      <c r="E45" s="9"/>
      <c r="F45" s="11" t="s">
        <v>289</v>
      </c>
      <c r="G45" s="12">
        <v>45917</v>
      </c>
      <c r="H45" s="12" t="s">
        <v>549</v>
      </c>
      <c r="I45" s="9" t="s">
        <v>550</v>
      </c>
      <c r="J45" s="9" t="s">
        <v>551</v>
      </c>
      <c r="K45" s="9" t="s">
        <v>45</v>
      </c>
      <c r="L45" s="9" t="s">
        <v>46</v>
      </c>
      <c r="M45" s="9" t="s">
        <v>46</v>
      </c>
      <c r="N45" s="2" t="s">
        <v>46</v>
      </c>
      <c r="O45" s="2" t="s">
        <v>47</v>
      </c>
    </row>
    <row r="46" spans="1:15">
      <c r="A46" s="9" t="s">
        <v>552</v>
      </c>
      <c r="B46" s="10">
        <v>1</v>
      </c>
      <c r="C46" s="11" t="s">
        <v>44</v>
      </c>
      <c r="D46" s="9"/>
      <c r="E46" s="9"/>
      <c r="F46" s="11" t="s">
        <v>289</v>
      </c>
      <c r="G46" s="12">
        <v>45917</v>
      </c>
      <c r="H46" s="12" t="s">
        <v>553</v>
      </c>
      <c r="I46" s="9" t="s">
        <v>554</v>
      </c>
      <c r="J46" s="9" t="s">
        <v>555</v>
      </c>
      <c r="K46" s="9" t="s">
        <v>45</v>
      </c>
      <c r="L46" s="9" t="s">
        <v>46</v>
      </c>
      <c r="M46" s="9" t="s">
        <v>46</v>
      </c>
      <c r="N46" s="2" t="s">
        <v>46</v>
      </c>
      <c r="O46" s="2" t="s">
        <v>47</v>
      </c>
    </row>
    <row r="47" spans="1:15">
      <c r="A47" s="32" t="s">
        <v>556</v>
      </c>
      <c r="B47" s="33">
        <v>1</v>
      </c>
      <c r="C47" s="34" t="s">
        <v>44</v>
      </c>
      <c r="D47" s="32"/>
      <c r="E47" s="32"/>
      <c r="F47" s="34" t="s">
        <v>289</v>
      </c>
      <c r="G47" s="35">
        <v>45917</v>
      </c>
      <c r="H47" s="35" t="s">
        <v>557</v>
      </c>
      <c r="I47" s="32" t="s">
        <v>558</v>
      </c>
      <c r="J47" s="32" t="s">
        <v>559</v>
      </c>
      <c r="K47" s="32" t="s">
        <v>45</v>
      </c>
      <c r="L47" s="32" t="s">
        <v>46</v>
      </c>
      <c r="M47" s="32" t="s">
        <v>46</v>
      </c>
      <c r="N47" s="16" t="s">
        <v>46</v>
      </c>
      <c r="O47" s="16" t="s">
        <v>47</v>
      </c>
    </row>
    <row r="48" spans="1:15">
      <c r="A48" s="36" t="s">
        <v>560</v>
      </c>
      <c r="B48" s="37">
        <v>1</v>
      </c>
      <c r="C48" s="38" t="s">
        <v>44</v>
      </c>
      <c r="D48" s="39"/>
      <c r="E48" s="39"/>
      <c r="F48" s="34" t="s">
        <v>289</v>
      </c>
      <c r="G48" s="40">
        <v>45919</v>
      </c>
      <c r="H48" s="36" t="s">
        <v>631</v>
      </c>
      <c r="I48" s="36" t="s">
        <v>812</v>
      </c>
      <c r="J48" s="36" t="s">
        <v>814</v>
      </c>
      <c r="K48" s="36" t="s">
        <v>45</v>
      </c>
      <c r="L48" s="42" t="s">
        <v>46</v>
      </c>
      <c r="M48" s="42" t="s">
        <v>46</v>
      </c>
      <c r="N48" s="42" t="s">
        <v>46</v>
      </c>
      <c r="O48" s="36" t="s">
        <v>47</v>
      </c>
    </row>
    <row r="49" spans="1:15">
      <c r="A49" s="36" t="s">
        <v>561</v>
      </c>
      <c r="B49" s="37">
        <v>1</v>
      </c>
      <c r="C49" s="38" t="s">
        <v>44</v>
      </c>
      <c r="D49" s="39"/>
      <c r="E49" s="39"/>
      <c r="F49" s="34" t="s">
        <v>289</v>
      </c>
      <c r="G49" s="40">
        <v>45919</v>
      </c>
      <c r="H49" s="36" t="s">
        <v>632</v>
      </c>
      <c r="I49" s="36" t="s">
        <v>633</v>
      </c>
      <c r="J49" s="36" t="s">
        <v>634</v>
      </c>
      <c r="K49" s="36" t="s">
        <v>45</v>
      </c>
      <c r="L49" s="42" t="s">
        <v>46</v>
      </c>
      <c r="M49" s="42" t="s">
        <v>46</v>
      </c>
      <c r="N49" s="42" t="s">
        <v>46</v>
      </c>
      <c r="O49" s="36" t="s">
        <v>47</v>
      </c>
    </row>
    <row r="50" spans="1:15">
      <c r="A50" s="36" t="s">
        <v>562</v>
      </c>
      <c r="B50" s="37">
        <v>1</v>
      </c>
      <c r="C50" s="38" t="s">
        <v>44</v>
      </c>
      <c r="D50" s="39"/>
      <c r="E50" s="39"/>
      <c r="F50" s="34" t="s">
        <v>289</v>
      </c>
      <c r="G50" s="40">
        <v>45919</v>
      </c>
      <c r="H50" s="36" t="s">
        <v>635</v>
      </c>
      <c r="I50" s="36" t="s">
        <v>636</v>
      </c>
      <c r="J50" s="36" t="s">
        <v>637</v>
      </c>
      <c r="K50" s="36" t="s">
        <v>45</v>
      </c>
      <c r="L50" s="42" t="s">
        <v>46</v>
      </c>
      <c r="M50" s="42" t="s">
        <v>46</v>
      </c>
      <c r="N50" s="42" t="s">
        <v>46</v>
      </c>
      <c r="O50" s="36" t="s">
        <v>47</v>
      </c>
    </row>
    <row r="51" spans="1:15">
      <c r="A51" s="36" t="s">
        <v>563</v>
      </c>
      <c r="B51" s="37">
        <v>1</v>
      </c>
      <c r="C51" s="38" t="s">
        <v>44</v>
      </c>
      <c r="D51" s="39"/>
      <c r="E51" s="39"/>
      <c r="F51" s="34" t="s">
        <v>289</v>
      </c>
      <c r="G51" s="40">
        <v>45919</v>
      </c>
      <c r="H51" s="36" t="s">
        <v>638</v>
      </c>
      <c r="I51" s="36" t="s">
        <v>639</v>
      </c>
      <c r="J51" s="36" t="s">
        <v>640</v>
      </c>
      <c r="K51" s="36" t="s">
        <v>45</v>
      </c>
      <c r="L51" s="42" t="s">
        <v>46</v>
      </c>
      <c r="M51" s="42" t="s">
        <v>46</v>
      </c>
      <c r="N51" s="42" t="s">
        <v>46</v>
      </c>
      <c r="O51" s="36" t="s">
        <v>47</v>
      </c>
    </row>
    <row r="52" spans="1:15">
      <c r="A52" s="36" t="s">
        <v>641</v>
      </c>
      <c r="B52" s="41">
        <v>2</v>
      </c>
      <c r="C52" s="38" t="s">
        <v>44</v>
      </c>
      <c r="D52" s="39"/>
      <c r="E52" s="39"/>
      <c r="F52" s="34" t="s">
        <v>289</v>
      </c>
      <c r="G52" s="40">
        <v>45919</v>
      </c>
      <c r="H52" s="36" t="s">
        <v>642</v>
      </c>
      <c r="I52" s="36" t="s">
        <v>643</v>
      </c>
      <c r="J52" s="36" t="s">
        <v>644</v>
      </c>
      <c r="K52" s="36" t="s">
        <v>45</v>
      </c>
      <c r="L52" s="42" t="s">
        <v>310</v>
      </c>
      <c r="M52" s="42" t="s">
        <v>46</v>
      </c>
      <c r="N52" s="42" t="s">
        <v>46</v>
      </c>
      <c r="O52" s="36" t="s">
        <v>47</v>
      </c>
    </row>
    <row r="53" spans="1:15">
      <c r="A53" s="36" t="s">
        <v>645</v>
      </c>
      <c r="B53" s="41">
        <v>2</v>
      </c>
      <c r="C53" s="38" t="s">
        <v>44</v>
      </c>
      <c r="D53" s="39"/>
      <c r="E53" s="39"/>
      <c r="F53" s="34" t="s">
        <v>289</v>
      </c>
      <c r="G53" s="40">
        <v>45919</v>
      </c>
      <c r="H53" s="36" t="s">
        <v>646</v>
      </c>
      <c r="I53" s="36" t="s">
        <v>647</v>
      </c>
      <c r="J53" s="36" t="s">
        <v>648</v>
      </c>
      <c r="K53" s="36" t="s">
        <v>45</v>
      </c>
      <c r="L53" s="42" t="s">
        <v>310</v>
      </c>
      <c r="M53" s="42" t="s">
        <v>310</v>
      </c>
      <c r="N53" s="42" t="s">
        <v>310</v>
      </c>
      <c r="O53" s="36" t="s">
        <v>47</v>
      </c>
    </row>
    <row r="54" spans="1:15">
      <c r="A54" s="36" t="s">
        <v>649</v>
      </c>
      <c r="B54" s="41">
        <v>2</v>
      </c>
      <c r="C54" s="38" t="s">
        <v>44</v>
      </c>
      <c r="D54" s="39"/>
      <c r="E54" s="39"/>
      <c r="F54" s="34" t="s">
        <v>289</v>
      </c>
      <c r="G54" s="40">
        <v>45919</v>
      </c>
      <c r="H54" s="36" t="s">
        <v>650</v>
      </c>
      <c r="I54" s="36" t="s">
        <v>651</v>
      </c>
      <c r="J54" s="36" t="s">
        <v>652</v>
      </c>
      <c r="K54" s="36" t="s">
        <v>45</v>
      </c>
      <c r="L54" s="42" t="s">
        <v>310</v>
      </c>
      <c r="M54" s="42" t="s">
        <v>310</v>
      </c>
      <c r="N54" s="42" t="s">
        <v>46</v>
      </c>
      <c r="O54" s="36" t="s">
        <v>47</v>
      </c>
    </row>
    <row r="55" spans="1:15">
      <c r="A55" s="36" t="s">
        <v>653</v>
      </c>
      <c r="B55" s="41">
        <v>2</v>
      </c>
      <c r="C55" s="38" t="s">
        <v>44</v>
      </c>
      <c r="D55" s="39"/>
      <c r="E55" s="39"/>
      <c r="F55" s="34" t="s">
        <v>289</v>
      </c>
      <c r="G55" s="40">
        <v>45919</v>
      </c>
      <c r="H55" s="36" t="s">
        <v>654</v>
      </c>
      <c r="I55" s="36" t="s">
        <v>655</v>
      </c>
      <c r="J55" s="36" t="s">
        <v>656</v>
      </c>
      <c r="K55" s="36" t="s">
        <v>45</v>
      </c>
      <c r="L55" s="42" t="s">
        <v>46</v>
      </c>
      <c r="M55" s="42" t="s">
        <v>46</v>
      </c>
      <c r="N55" s="42" t="s">
        <v>46</v>
      </c>
      <c r="O55" s="36" t="s">
        <v>47</v>
      </c>
    </row>
    <row r="56" spans="1:15">
      <c r="A56" s="36" t="s">
        <v>657</v>
      </c>
      <c r="B56" s="41">
        <v>2</v>
      </c>
      <c r="C56" s="38" t="s">
        <v>44</v>
      </c>
      <c r="D56" s="39"/>
      <c r="E56" s="39"/>
      <c r="F56" s="34" t="s">
        <v>289</v>
      </c>
      <c r="G56" s="40">
        <v>45919</v>
      </c>
      <c r="H56" s="36" t="s">
        <v>658</v>
      </c>
      <c r="I56" s="36" t="s">
        <v>659</v>
      </c>
      <c r="J56" s="36" t="s">
        <v>660</v>
      </c>
      <c r="K56" s="36" t="s">
        <v>45</v>
      </c>
      <c r="L56" s="42" t="s">
        <v>46</v>
      </c>
      <c r="M56" s="42" t="s">
        <v>46</v>
      </c>
      <c r="N56" s="42" t="s">
        <v>46</v>
      </c>
      <c r="O56" s="36" t="s">
        <v>47</v>
      </c>
    </row>
    <row r="57" spans="1:15">
      <c r="A57" s="36" t="s">
        <v>661</v>
      </c>
      <c r="B57" s="41">
        <v>2</v>
      </c>
      <c r="C57" s="38" t="s">
        <v>44</v>
      </c>
      <c r="D57" s="39"/>
      <c r="E57" s="39"/>
      <c r="F57" s="34" t="s">
        <v>289</v>
      </c>
      <c r="G57" s="40">
        <v>45919</v>
      </c>
      <c r="H57" s="36" t="s">
        <v>662</v>
      </c>
      <c r="I57" s="36" t="s">
        <v>663</v>
      </c>
      <c r="J57" s="36" t="s">
        <v>664</v>
      </c>
      <c r="K57" s="36" t="s">
        <v>45</v>
      </c>
      <c r="L57" s="42" t="s">
        <v>46</v>
      </c>
      <c r="M57" s="42" t="s">
        <v>46</v>
      </c>
      <c r="N57" s="42" t="s">
        <v>46</v>
      </c>
      <c r="O57" s="36" t="s">
        <v>47</v>
      </c>
    </row>
    <row r="58" spans="1:15">
      <c r="A58" s="36" t="s">
        <v>665</v>
      </c>
      <c r="B58" s="41">
        <v>2</v>
      </c>
      <c r="C58" s="38" t="s">
        <v>44</v>
      </c>
      <c r="D58" s="39"/>
      <c r="E58" s="39"/>
      <c r="F58" s="11" t="s">
        <v>521</v>
      </c>
      <c r="G58" s="40">
        <v>45923</v>
      </c>
      <c r="H58" s="36" t="s">
        <v>666</v>
      </c>
      <c r="I58" s="36" t="s">
        <v>667</v>
      </c>
      <c r="J58" s="36" t="s">
        <v>668</v>
      </c>
      <c r="K58" s="36" t="s">
        <v>45</v>
      </c>
      <c r="L58" s="42" t="s">
        <v>46</v>
      </c>
      <c r="M58" s="42" t="s">
        <v>46</v>
      </c>
      <c r="N58" s="42" t="s">
        <v>46</v>
      </c>
      <c r="O58" s="36" t="s">
        <v>47</v>
      </c>
    </row>
    <row r="59" spans="1:15">
      <c r="A59" s="36" t="s">
        <v>669</v>
      </c>
      <c r="B59" s="41">
        <v>2</v>
      </c>
      <c r="C59" s="38" t="s">
        <v>44</v>
      </c>
      <c r="D59" s="39"/>
      <c r="E59" s="39"/>
      <c r="F59" s="11" t="s">
        <v>521</v>
      </c>
      <c r="G59" s="40">
        <v>45923</v>
      </c>
      <c r="H59" s="36" t="s">
        <v>670</v>
      </c>
      <c r="I59" s="36" t="s">
        <v>671</v>
      </c>
      <c r="J59" s="36" t="s">
        <v>672</v>
      </c>
      <c r="K59" s="36" t="s">
        <v>45</v>
      </c>
      <c r="L59" s="42" t="s">
        <v>46</v>
      </c>
      <c r="M59" s="42" t="s">
        <v>46</v>
      </c>
      <c r="N59" s="42" t="s">
        <v>46</v>
      </c>
      <c r="O59" s="36" t="s">
        <v>47</v>
      </c>
    </row>
    <row r="60" spans="1:15">
      <c r="A60" s="36" t="s">
        <v>673</v>
      </c>
      <c r="B60" s="41">
        <v>2</v>
      </c>
      <c r="C60" s="38" t="s">
        <v>44</v>
      </c>
      <c r="D60" s="39"/>
      <c r="E60" s="39"/>
      <c r="F60" s="11" t="s">
        <v>521</v>
      </c>
      <c r="G60" s="40">
        <v>45923</v>
      </c>
      <c r="H60" s="36" t="s">
        <v>674</v>
      </c>
      <c r="I60" s="36" t="s">
        <v>675</v>
      </c>
      <c r="J60" s="36" t="s">
        <v>676</v>
      </c>
      <c r="K60" s="36" t="s">
        <v>45</v>
      </c>
      <c r="L60" s="42" t="s">
        <v>46</v>
      </c>
      <c r="M60" s="42" t="s">
        <v>46</v>
      </c>
      <c r="N60" s="42" t="s">
        <v>46</v>
      </c>
      <c r="O60" s="36" t="s">
        <v>47</v>
      </c>
    </row>
    <row r="61" spans="1:15">
      <c r="A61" s="36" t="s">
        <v>677</v>
      </c>
      <c r="B61" s="41">
        <v>2</v>
      </c>
      <c r="C61" s="38" t="s">
        <v>44</v>
      </c>
      <c r="D61" s="39"/>
      <c r="E61" s="39"/>
      <c r="F61" s="11" t="s">
        <v>521</v>
      </c>
      <c r="G61" s="40">
        <v>45923</v>
      </c>
      <c r="H61" s="36" t="s">
        <v>678</v>
      </c>
      <c r="I61" s="36" t="s">
        <v>679</v>
      </c>
      <c r="J61" s="36" t="s">
        <v>680</v>
      </c>
      <c r="K61" s="36" t="s">
        <v>45</v>
      </c>
      <c r="L61" s="42" t="s">
        <v>46</v>
      </c>
      <c r="M61" s="42" t="s">
        <v>46</v>
      </c>
      <c r="N61" s="42" t="s">
        <v>46</v>
      </c>
      <c r="O61" s="36" t="s">
        <v>47</v>
      </c>
    </row>
    <row r="62" spans="1:15">
      <c r="A62" s="36" t="s">
        <v>681</v>
      </c>
      <c r="B62" s="41">
        <v>2</v>
      </c>
      <c r="C62" s="38" t="s">
        <v>44</v>
      </c>
      <c r="D62" s="39"/>
      <c r="E62" s="39"/>
      <c r="F62" s="34" t="s">
        <v>289</v>
      </c>
      <c r="G62" s="40">
        <v>45923</v>
      </c>
      <c r="H62" s="36" t="s">
        <v>682</v>
      </c>
      <c r="I62" s="36" t="s">
        <v>683</v>
      </c>
      <c r="J62" s="36" t="s">
        <v>684</v>
      </c>
      <c r="K62" s="36" t="s">
        <v>45</v>
      </c>
      <c r="L62" s="42" t="s">
        <v>46</v>
      </c>
      <c r="M62" s="42" t="s">
        <v>46</v>
      </c>
      <c r="N62" s="42" t="s">
        <v>46</v>
      </c>
      <c r="O62" s="36" t="s">
        <v>47</v>
      </c>
    </row>
    <row r="63" spans="1:15">
      <c r="A63" s="36" t="s">
        <v>685</v>
      </c>
      <c r="B63" s="41">
        <v>2</v>
      </c>
      <c r="C63" s="38" t="s">
        <v>44</v>
      </c>
      <c r="D63" s="39"/>
      <c r="E63" s="39"/>
      <c r="F63" s="34" t="s">
        <v>289</v>
      </c>
      <c r="G63" s="40">
        <v>45923</v>
      </c>
      <c r="H63" s="36" t="s">
        <v>686</v>
      </c>
      <c r="I63" s="36" t="s">
        <v>687</v>
      </c>
      <c r="J63" s="36" t="s">
        <v>688</v>
      </c>
      <c r="K63" s="36" t="s">
        <v>45</v>
      </c>
      <c r="L63" s="42" t="s">
        <v>46</v>
      </c>
      <c r="M63" s="42" t="s">
        <v>46</v>
      </c>
      <c r="N63" s="42" t="s">
        <v>46</v>
      </c>
      <c r="O63" s="36" t="s">
        <v>47</v>
      </c>
    </row>
    <row r="64" spans="1:15">
      <c r="A64" s="36" t="s">
        <v>689</v>
      </c>
      <c r="B64" s="41">
        <v>2</v>
      </c>
      <c r="C64" s="38" t="s">
        <v>44</v>
      </c>
      <c r="D64" s="39"/>
      <c r="E64" s="36" t="s">
        <v>690</v>
      </c>
      <c r="F64" s="34" t="s">
        <v>289</v>
      </c>
      <c r="G64" s="40">
        <v>45924</v>
      </c>
      <c r="H64" s="36" t="s">
        <v>691</v>
      </c>
      <c r="I64" s="36" t="s">
        <v>813</v>
      </c>
      <c r="J64" s="36" t="s">
        <v>692</v>
      </c>
      <c r="K64" s="36" t="s">
        <v>45</v>
      </c>
      <c r="L64" s="42" t="s">
        <v>46</v>
      </c>
      <c r="M64" s="42" t="s">
        <v>46</v>
      </c>
      <c r="N64" s="42" t="s">
        <v>310</v>
      </c>
      <c r="O64" s="36" t="s">
        <v>47</v>
      </c>
    </row>
    <row r="65" spans="1:15">
      <c r="A65" s="36" t="s">
        <v>693</v>
      </c>
      <c r="B65" s="41">
        <v>2</v>
      </c>
      <c r="C65" s="38" t="s">
        <v>44</v>
      </c>
      <c r="D65" s="39"/>
      <c r="E65" s="39"/>
      <c r="F65" s="34" t="s">
        <v>289</v>
      </c>
      <c r="G65" s="40">
        <v>45924</v>
      </c>
      <c r="H65" s="36" t="s">
        <v>694</v>
      </c>
      <c r="I65" s="36" t="s">
        <v>815</v>
      </c>
      <c r="J65" s="36" t="s">
        <v>695</v>
      </c>
      <c r="K65" s="36" t="s">
        <v>45</v>
      </c>
      <c r="L65" s="42" t="s">
        <v>310</v>
      </c>
      <c r="M65" s="42" t="s">
        <v>310</v>
      </c>
      <c r="N65" s="42" t="s">
        <v>46</v>
      </c>
      <c r="O65" s="36" t="s">
        <v>47</v>
      </c>
    </row>
    <row r="66" spans="1:15">
      <c r="A66" s="36" t="s">
        <v>696</v>
      </c>
      <c r="B66" s="41">
        <v>2</v>
      </c>
      <c r="C66" s="38" t="s">
        <v>44</v>
      </c>
      <c r="D66" s="39"/>
      <c r="E66" s="39"/>
      <c r="F66" s="34" t="s">
        <v>289</v>
      </c>
      <c r="G66" s="40">
        <v>45924</v>
      </c>
      <c r="H66" s="36" t="s">
        <v>697</v>
      </c>
      <c r="I66" s="36" t="s">
        <v>698</v>
      </c>
      <c r="J66" s="36" t="s">
        <v>699</v>
      </c>
      <c r="K66" s="36" t="s">
        <v>45</v>
      </c>
      <c r="L66" s="42" t="s">
        <v>46</v>
      </c>
      <c r="M66" s="42" t="s">
        <v>46</v>
      </c>
      <c r="N66" s="42" t="s">
        <v>46</v>
      </c>
      <c r="O66" s="36" t="s">
        <v>47</v>
      </c>
    </row>
    <row r="67" spans="1:15">
      <c r="A67" s="36" t="s">
        <v>700</v>
      </c>
      <c r="B67" s="41">
        <v>2</v>
      </c>
      <c r="C67" s="38" t="s">
        <v>44</v>
      </c>
      <c r="D67" s="39"/>
      <c r="E67" s="39"/>
      <c r="F67" s="34" t="s">
        <v>289</v>
      </c>
      <c r="G67" s="40">
        <v>45924</v>
      </c>
      <c r="H67" s="36" t="s">
        <v>701</v>
      </c>
      <c r="I67" s="36" t="s">
        <v>702</v>
      </c>
      <c r="J67" s="36" t="s">
        <v>816</v>
      </c>
      <c r="K67" s="36" t="s">
        <v>45</v>
      </c>
      <c r="L67" s="42" t="s">
        <v>46</v>
      </c>
      <c r="M67" s="42" t="s">
        <v>46</v>
      </c>
      <c r="N67" s="42" t="s">
        <v>46</v>
      </c>
      <c r="O67" s="36" t="s">
        <v>47</v>
      </c>
    </row>
    <row r="68" spans="1:15">
      <c r="A68" s="36" t="s">
        <v>703</v>
      </c>
      <c r="B68" s="41">
        <v>2</v>
      </c>
      <c r="C68" s="38" t="s">
        <v>44</v>
      </c>
      <c r="D68" s="39"/>
      <c r="E68" s="39"/>
      <c r="F68" s="34" t="s">
        <v>289</v>
      </c>
      <c r="G68" s="40">
        <v>45924</v>
      </c>
      <c r="H68" s="36" t="s">
        <v>704</v>
      </c>
      <c r="I68" s="36" t="s">
        <v>705</v>
      </c>
      <c r="J68" s="36" t="s">
        <v>706</v>
      </c>
      <c r="K68" s="36" t="s">
        <v>45</v>
      </c>
      <c r="L68" s="42" t="s">
        <v>46</v>
      </c>
      <c r="M68" s="42" t="s">
        <v>46</v>
      </c>
      <c r="N68" s="42" t="s">
        <v>46</v>
      </c>
      <c r="O68" s="36" t="s">
        <v>47</v>
      </c>
    </row>
    <row r="69" spans="1:15">
      <c r="A69" s="36" t="s">
        <v>707</v>
      </c>
      <c r="B69" s="41">
        <v>2</v>
      </c>
      <c r="C69" s="38" t="s">
        <v>44</v>
      </c>
      <c r="D69" s="39"/>
      <c r="E69" s="39"/>
      <c r="F69" s="34" t="s">
        <v>289</v>
      </c>
      <c r="G69" s="40">
        <v>45924</v>
      </c>
      <c r="H69" s="36" t="s">
        <v>708</v>
      </c>
      <c r="I69" s="36" t="s">
        <v>709</v>
      </c>
      <c r="J69" s="36" t="s">
        <v>710</v>
      </c>
      <c r="K69" s="36" t="s">
        <v>45</v>
      </c>
      <c r="L69" s="42" t="s">
        <v>46</v>
      </c>
      <c r="M69" s="42" t="s">
        <v>310</v>
      </c>
      <c r="N69" s="42" t="s">
        <v>310</v>
      </c>
      <c r="O69" s="36" t="s">
        <v>47</v>
      </c>
    </row>
    <row r="70" spans="1:15">
      <c r="A70" s="36" t="s">
        <v>711</v>
      </c>
      <c r="B70" s="41">
        <v>2</v>
      </c>
      <c r="C70" s="38" t="s">
        <v>44</v>
      </c>
      <c r="D70" s="39"/>
      <c r="E70" s="36" t="s">
        <v>377</v>
      </c>
      <c r="F70" s="34" t="s">
        <v>289</v>
      </c>
      <c r="G70" s="40">
        <v>45924</v>
      </c>
      <c r="H70" s="36" t="s">
        <v>712</v>
      </c>
      <c r="I70" s="36" t="s">
        <v>713</v>
      </c>
      <c r="J70" s="36" t="s">
        <v>714</v>
      </c>
      <c r="K70" s="36" t="s">
        <v>45</v>
      </c>
      <c r="L70" s="42" t="s">
        <v>46</v>
      </c>
      <c r="M70" s="42" t="s">
        <v>46</v>
      </c>
      <c r="N70" s="42" t="s">
        <v>46</v>
      </c>
      <c r="O70" s="36" t="s">
        <v>47</v>
      </c>
    </row>
    <row r="71" spans="1:15">
      <c r="A71" s="36" t="s">
        <v>715</v>
      </c>
      <c r="B71" s="41">
        <v>2</v>
      </c>
      <c r="C71" s="38" t="s">
        <v>44</v>
      </c>
      <c r="D71" s="39"/>
      <c r="E71" s="36" t="s">
        <v>716</v>
      </c>
      <c r="F71" s="34" t="s">
        <v>289</v>
      </c>
      <c r="G71" s="40">
        <v>45924</v>
      </c>
      <c r="H71" s="36" t="s">
        <v>717</v>
      </c>
      <c r="I71" s="36" t="s">
        <v>718</v>
      </c>
      <c r="J71" s="36" t="s">
        <v>719</v>
      </c>
      <c r="K71" s="36" t="s">
        <v>45</v>
      </c>
      <c r="L71" s="42" t="s">
        <v>46</v>
      </c>
      <c r="M71" s="42" t="s">
        <v>46</v>
      </c>
      <c r="N71" s="42" t="s">
        <v>46</v>
      </c>
      <c r="O71" s="36" t="s">
        <v>47</v>
      </c>
    </row>
    <row r="72" spans="1:15">
      <c r="A72" s="36" t="s">
        <v>720</v>
      </c>
      <c r="B72" s="41">
        <v>2</v>
      </c>
      <c r="C72" s="38" t="s">
        <v>44</v>
      </c>
      <c r="D72" s="39"/>
      <c r="E72" s="39"/>
      <c r="F72" s="34" t="s">
        <v>289</v>
      </c>
      <c r="G72" s="40">
        <v>45924</v>
      </c>
      <c r="H72" s="36" t="s">
        <v>721</v>
      </c>
      <c r="I72" s="36" t="s">
        <v>722</v>
      </c>
      <c r="J72" s="36" t="s">
        <v>817</v>
      </c>
      <c r="K72" s="36" t="s">
        <v>45</v>
      </c>
      <c r="L72" s="42" t="s">
        <v>46</v>
      </c>
      <c r="M72" s="42" t="s">
        <v>46</v>
      </c>
      <c r="N72" s="42" t="s">
        <v>310</v>
      </c>
      <c r="O72" s="36" t="s">
        <v>47</v>
      </c>
    </row>
    <row r="73" spans="1:15">
      <c r="A73" s="36" t="s">
        <v>723</v>
      </c>
      <c r="B73" s="41">
        <v>2</v>
      </c>
      <c r="C73" s="38" t="s">
        <v>44</v>
      </c>
      <c r="D73" s="39"/>
      <c r="E73" s="39"/>
      <c r="F73" s="34" t="s">
        <v>289</v>
      </c>
      <c r="G73" s="40">
        <v>45924</v>
      </c>
      <c r="H73" s="36" t="s">
        <v>724</v>
      </c>
      <c r="I73" s="36" t="s">
        <v>725</v>
      </c>
      <c r="J73" s="36" t="s">
        <v>726</v>
      </c>
      <c r="K73" s="36" t="s">
        <v>45</v>
      </c>
      <c r="L73" s="42" t="s">
        <v>46</v>
      </c>
      <c r="M73" s="42" t="s">
        <v>46</v>
      </c>
      <c r="N73" s="42" t="s">
        <v>46</v>
      </c>
      <c r="O73" s="36" t="s">
        <v>47</v>
      </c>
    </row>
    <row r="74" spans="1:15">
      <c r="A74" s="36" t="s">
        <v>727</v>
      </c>
      <c r="B74" s="41">
        <v>2</v>
      </c>
      <c r="C74" s="38" t="s">
        <v>44</v>
      </c>
      <c r="D74" s="39"/>
      <c r="E74" s="39"/>
      <c r="F74" s="34" t="s">
        <v>289</v>
      </c>
      <c r="G74" s="40">
        <v>45924</v>
      </c>
      <c r="H74" s="36" t="s">
        <v>728</v>
      </c>
      <c r="I74" s="36" t="s">
        <v>729</v>
      </c>
      <c r="J74" s="36" t="s">
        <v>730</v>
      </c>
      <c r="K74" s="36" t="s">
        <v>45</v>
      </c>
      <c r="L74" s="42" t="s">
        <v>46</v>
      </c>
      <c r="M74" s="42" t="s">
        <v>46</v>
      </c>
      <c r="N74" s="42" t="s">
        <v>46</v>
      </c>
      <c r="O74" s="36" t="s">
        <v>47</v>
      </c>
    </row>
    <row r="75" spans="1:15">
      <c r="A75" s="36" t="s">
        <v>731</v>
      </c>
      <c r="B75" s="41">
        <v>2</v>
      </c>
      <c r="C75" s="38" t="s">
        <v>44</v>
      </c>
      <c r="D75" s="39"/>
      <c r="E75" s="39"/>
      <c r="F75" s="34" t="s">
        <v>289</v>
      </c>
      <c r="G75" s="40">
        <v>45924</v>
      </c>
      <c r="H75" s="36" t="s">
        <v>732</v>
      </c>
      <c r="I75" s="36" t="s">
        <v>733</v>
      </c>
      <c r="J75" s="36" t="s">
        <v>734</v>
      </c>
      <c r="K75" s="36" t="s">
        <v>45</v>
      </c>
      <c r="L75" s="42" t="s">
        <v>46</v>
      </c>
      <c r="M75" s="42" t="s">
        <v>46</v>
      </c>
      <c r="N75" s="42" t="s">
        <v>46</v>
      </c>
      <c r="O75" s="36" t="s">
        <v>47</v>
      </c>
    </row>
    <row r="76" spans="1:15">
      <c r="A76" s="36" t="s">
        <v>735</v>
      </c>
      <c r="B76" s="41">
        <v>2</v>
      </c>
      <c r="C76" s="38" t="s">
        <v>44</v>
      </c>
      <c r="D76" s="39"/>
      <c r="E76" s="39"/>
      <c r="F76" s="11" t="s">
        <v>521</v>
      </c>
      <c r="G76" s="40">
        <v>45925</v>
      </c>
      <c r="H76" s="36" t="s">
        <v>736</v>
      </c>
      <c r="I76" s="36" t="s">
        <v>737</v>
      </c>
      <c r="J76" s="36" t="s">
        <v>738</v>
      </c>
      <c r="K76" s="36" t="s">
        <v>45</v>
      </c>
      <c r="L76" s="42" t="s">
        <v>46</v>
      </c>
      <c r="M76" s="42" t="s">
        <v>46</v>
      </c>
      <c r="N76" s="42" t="s">
        <v>46</v>
      </c>
      <c r="O76" s="36" t="s">
        <v>47</v>
      </c>
    </row>
    <row r="77" spans="1:15">
      <c r="A77" s="36" t="s">
        <v>739</v>
      </c>
      <c r="B77" s="41">
        <v>2</v>
      </c>
      <c r="C77" s="38" t="s">
        <v>44</v>
      </c>
      <c r="D77" s="39"/>
      <c r="E77" s="39"/>
      <c r="F77" s="11" t="s">
        <v>521</v>
      </c>
      <c r="G77" s="40">
        <v>45925</v>
      </c>
      <c r="H77" s="36" t="s">
        <v>740</v>
      </c>
      <c r="I77" s="36" t="s">
        <v>741</v>
      </c>
      <c r="J77" s="36" t="s">
        <v>742</v>
      </c>
      <c r="K77" s="36" t="s">
        <v>45</v>
      </c>
      <c r="L77" s="42" t="s">
        <v>46</v>
      </c>
      <c r="M77" s="42" t="s">
        <v>46</v>
      </c>
      <c r="N77" s="42" t="s">
        <v>46</v>
      </c>
      <c r="O77" s="36" t="s">
        <v>47</v>
      </c>
    </row>
    <row r="78" spans="1:15">
      <c r="A78" s="36" t="s">
        <v>743</v>
      </c>
      <c r="B78" s="41">
        <v>2</v>
      </c>
      <c r="C78" s="38" t="s">
        <v>44</v>
      </c>
      <c r="D78" s="39"/>
      <c r="E78" s="39"/>
      <c r="F78" s="11" t="s">
        <v>521</v>
      </c>
      <c r="G78" s="40">
        <v>45925</v>
      </c>
      <c r="H78" s="36" t="s">
        <v>744</v>
      </c>
      <c r="I78" s="36" t="s">
        <v>745</v>
      </c>
      <c r="J78" s="36" t="s">
        <v>746</v>
      </c>
      <c r="K78" s="36" t="s">
        <v>45</v>
      </c>
      <c r="L78" s="42" t="s">
        <v>46</v>
      </c>
      <c r="M78" s="42" t="s">
        <v>46</v>
      </c>
      <c r="N78" s="42" t="s">
        <v>46</v>
      </c>
      <c r="O78" s="36" t="s">
        <v>47</v>
      </c>
    </row>
    <row r="79" spans="1:15">
      <c r="A79" s="36" t="s">
        <v>747</v>
      </c>
      <c r="B79" s="41">
        <v>2</v>
      </c>
      <c r="C79" s="38" t="s">
        <v>44</v>
      </c>
      <c r="D79" s="39"/>
      <c r="E79" s="39"/>
      <c r="F79" s="11" t="s">
        <v>521</v>
      </c>
      <c r="G79" s="40">
        <v>45925</v>
      </c>
      <c r="H79" s="36" t="s">
        <v>748</v>
      </c>
      <c r="I79" s="36" t="s">
        <v>749</v>
      </c>
      <c r="J79" s="36" t="s">
        <v>750</v>
      </c>
      <c r="K79" s="36" t="s">
        <v>45</v>
      </c>
      <c r="L79" s="42" t="s">
        <v>46</v>
      </c>
      <c r="M79" s="42" t="s">
        <v>46</v>
      </c>
      <c r="N79" s="42" t="s">
        <v>46</v>
      </c>
      <c r="O79" s="36" t="s">
        <v>47</v>
      </c>
    </row>
    <row r="80" spans="1:15">
      <c r="A80" s="36" t="s">
        <v>751</v>
      </c>
      <c r="B80" s="41">
        <v>2</v>
      </c>
      <c r="C80" s="38" t="s">
        <v>44</v>
      </c>
      <c r="D80" s="39"/>
      <c r="E80" s="39"/>
      <c r="F80" s="11" t="s">
        <v>521</v>
      </c>
      <c r="G80" s="40">
        <v>45925</v>
      </c>
      <c r="H80" s="36" t="s">
        <v>752</v>
      </c>
      <c r="I80" s="36" t="s">
        <v>753</v>
      </c>
      <c r="J80" s="36" t="s">
        <v>754</v>
      </c>
      <c r="K80" s="36" t="s">
        <v>45</v>
      </c>
      <c r="L80" s="42" t="s">
        <v>46</v>
      </c>
      <c r="M80" s="42" t="s">
        <v>46</v>
      </c>
      <c r="N80" s="42" t="s">
        <v>46</v>
      </c>
      <c r="O80" s="36" t="s">
        <v>47</v>
      </c>
    </row>
    <row r="81" spans="1:15">
      <c r="A81" s="36" t="s">
        <v>755</v>
      </c>
      <c r="B81" s="41">
        <v>2</v>
      </c>
      <c r="C81" s="38" t="s">
        <v>44</v>
      </c>
      <c r="D81" s="39"/>
      <c r="E81" s="39"/>
      <c r="F81" s="34" t="s">
        <v>289</v>
      </c>
      <c r="G81" s="40">
        <v>45926</v>
      </c>
      <c r="H81" s="36" t="s">
        <v>756</v>
      </c>
      <c r="I81" s="36" t="s">
        <v>757</v>
      </c>
      <c r="J81" s="36" t="s">
        <v>758</v>
      </c>
      <c r="K81" s="36" t="s">
        <v>45</v>
      </c>
      <c r="L81" s="42" t="s">
        <v>46</v>
      </c>
      <c r="M81" s="42" t="s">
        <v>46</v>
      </c>
      <c r="N81" s="42" t="s">
        <v>46</v>
      </c>
      <c r="O81" s="36" t="s">
        <v>47</v>
      </c>
    </row>
    <row r="82" spans="1:15">
      <c r="A82" s="36" t="s">
        <v>759</v>
      </c>
      <c r="B82" s="41">
        <v>2</v>
      </c>
      <c r="C82" s="38" t="s">
        <v>44</v>
      </c>
      <c r="D82" s="39"/>
      <c r="E82" s="39"/>
      <c r="F82" s="34" t="s">
        <v>289</v>
      </c>
      <c r="G82" s="40">
        <v>45926</v>
      </c>
      <c r="H82" s="36" t="s">
        <v>760</v>
      </c>
      <c r="I82" s="36" t="s">
        <v>761</v>
      </c>
      <c r="J82" s="36" t="s">
        <v>762</v>
      </c>
      <c r="K82" s="36" t="s">
        <v>45</v>
      </c>
      <c r="L82" s="42" t="s">
        <v>46</v>
      </c>
      <c r="M82" s="42" t="s">
        <v>46</v>
      </c>
      <c r="N82" s="42" t="s">
        <v>46</v>
      </c>
      <c r="O82" s="36" t="s">
        <v>47</v>
      </c>
    </row>
    <row r="83" spans="1:15">
      <c r="A83" s="36" t="s">
        <v>763</v>
      </c>
      <c r="B83" s="41">
        <v>2</v>
      </c>
      <c r="C83" s="38" t="s">
        <v>44</v>
      </c>
      <c r="D83" s="39"/>
      <c r="E83" s="39"/>
      <c r="F83" s="34" t="s">
        <v>289</v>
      </c>
      <c r="G83" s="40">
        <v>45926</v>
      </c>
      <c r="H83" s="36" t="s">
        <v>764</v>
      </c>
      <c r="I83" s="36" t="s">
        <v>765</v>
      </c>
      <c r="J83" s="36" t="s">
        <v>766</v>
      </c>
      <c r="K83" s="36" t="s">
        <v>45</v>
      </c>
      <c r="L83" s="42" t="s">
        <v>46</v>
      </c>
      <c r="M83" s="42" t="s">
        <v>46</v>
      </c>
      <c r="N83" s="42" t="s">
        <v>46</v>
      </c>
      <c r="O83" s="36" t="s">
        <v>47</v>
      </c>
    </row>
    <row r="84" spans="1:15">
      <c r="A84" s="36" t="s">
        <v>767</v>
      </c>
      <c r="B84" s="41">
        <v>2</v>
      </c>
      <c r="C84" s="38" t="s">
        <v>44</v>
      </c>
      <c r="D84" s="39"/>
      <c r="E84" s="39"/>
      <c r="F84" s="34" t="s">
        <v>289</v>
      </c>
      <c r="G84" s="40">
        <v>45926</v>
      </c>
      <c r="H84" s="36" t="s">
        <v>768</v>
      </c>
      <c r="I84" s="36" t="s">
        <v>769</v>
      </c>
      <c r="J84" s="36" t="s">
        <v>770</v>
      </c>
      <c r="K84" s="36" t="s">
        <v>45</v>
      </c>
      <c r="L84" s="42" t="s">
        <v>46</v>
      </c>
      <c r="M84" s="42" t="s">
        <v>46</v>
      </c>
      <c r="N84" s="42" t="s">
        <v>46</v>
      </c>
      <c r="O84" s="36" t="s">
        <v>47</v>
      </c>
    </row>
    <row r="85" spans="1:15">
      <c r="A85" s="36" t="s">
        <v>771</v>
      </c>
      <c r="B85" s="41">
        <v>2</v>
      </c>
      <c r="C85" s="38" t="s">
        <v>44</v>
      </c>
      <c r="D85" s="39"/>
      <c r="E85" s="39"/>
      <c r="F85" s="34" t="s">
        <v>289</v>
      </c>
      <c r="G85" s="40">
        <v>45926</v>
      </c>
      <c r="H85" s="36" t="s">
        <v>772</v>
      </c>
      <c r="I85" s="36" t="s">
        <v>773</v>
      </c>
      <c r="J85" s="36" t="s">
        <v>774</v>
      </c>
      <c r="K85" s="36" t="s">
        <v>45</v>
      </c>
      <c r="L85" s="42" t="s">
        <v>46</v>
      </c>
      <c r="M85" s="42" t="s">
        <v>46</v>
      </c>
      <c r="N85" s="42" t="s">
        <v>46</v>
      </c>
      <c r="O85" s="36" t="s">
        <v>47</v>
      </c>
    </row>
    <row r="86" spans="1:15">
      <c r="A86" s="36" t="s">
        <v>775</v>
      </c>
      <c r="B86" s="41">
        <v>2</v>
      </c>
      <c r="C86" s="38" t="s">
        <v>44</v>
      </c>
      <c r="D86" s="39"/>
      <c r="E86" s="39"/>
      <c r="F86" s="34" t="s">
        <v>289</v>
      </c>
      <c r="G86" s="40">
        <v>45926</v>
      </c>
      <c r="H86" s="36" t="s">
        <v>776</v>
      </c>
      <c r="I86" s="36" t="s">
        <v>777</v>
      </c>
      <c r="J86" s="36" t="s">
        <v>778</v>
      </c>
      <c r="K86" s="36" t="s">
        <v>45</v>
      </c>
      <c r="L86" s="42" t="s">
        <v>46</v>
      </c>
      <c r="M86" s="42" t="s">
        <v>46</v>
      </c>
      <c r="N86" s="42" t="s">
        <v>46</v>
      </c>
      <c r="O86" s="36" t="s">
        <v>47</v>
      </c>
    </row>
    <row r="87" spans="1:15">
      <c r="A87" s="36" t="s">
        <v>779</v>
      </c>
      <c r="B87" s="41">
        <v>2</v>
      </c>
      <c r="C87" s="38" t="s">
        <v>44</v>
      </c>
      <c r="D87" s="39"/>
      <c r="E87" s="39"/>
      <c r="F87" s="34" t="s">
        <v>289</v>
      </c>
      <c r="G87" s="40">
        <v>45926</v>
      </c>
      <c r="H87" s="36" t="s">
        <v>780</v>
      </c>
      <c r="I87" s="36" t="s">
        <v>818</v>
      </c>
      <c r="J87" s="36" t="s">
        <v>819</v>
      </c>
      <c r="K87" s="36" t="s">
        <v>45</v>
      </c>
      <c r="L87" s="42" t="s">
        <v>46</v>
      </c>
      <c r="M87" s="42" t="s">
        <v>46</v>
      </c>
      <c r="N87" s="42" t="s">
        <v>310</v>
      </c>
      <c r="O87" s="36" t="s">
        <v>47</v>
      </c>
    </row>
    <row r="88" spans="1:15">
      <c r="A88" s="36" t="s">
        <v>781</v>
      </c>
      <c r="B88" s="41">
        <v>2</v>
      </c>
      <c r="C88" s="38" t="s">
        <v>44</v>
      </c>
      <c r="D88" s="39"/>
      <c r="E88" s="39"/>
      <c r="F88" s="34" t="s">
        <v>289</v>
      </c>
      <c r="G88" s="40">
        <v>45926</v>
      </c>
      <c r="H88" s="36" t="s">
        <v>782</v>
      </c>
      <c r="I88" s="36" t="s">
        <v>783</v>
      </c>
      <c r="J88" s="36" t="s">
        <v>784</v>
      </c>
      <c r="K88" s="36" t="s">
        <v>45</v>
      </c>
      <c r="L88" s="42" t="s">
        <v>46</v>
      </c>
      <c r="M88" s="42" t="s">
        <v>46</v>
      </c>
      <c r="N88" s="42" t="s">
        <v>46</v>
      </c>
      <c r="O88" s="36" t="s">
        <v>47</v>
      </c>
    </row>
    <row r="89" spans="1:15">
      <c r="A89" s="36" t="s">
        <v>785</v>
      </c>
      <c r="B89" s="41">
        <v>2</v>
      </c>
      <c r="C89" s="38" t="s">
        <v>44</v>
      </c>
      <c r="D89" s="39"/>
      <c r="E89" s="39"/>
      <c r="F89" s="34" t="s">
        <v>289</v>
      </c>
      <c r="G89" s="40">
        <v>45931</v>
      </c>
      <c r="H89" s="36" t="s">
        <v>786</v>
      </c>
      <c r="I89" s="36" t="s">
        <v>820</v>
      </c>
      <c r="J89" s="36" t="s">
        <v>787</v>
      </c>
      <c r="K89" s="36" t="s">
        <v>45</v>
      </c>
      <c r="L89" s="42" t="s">
        <v>46</v>
      </c>
      <c r="M89" s="42" t="s">
        <v>46</v>
      </c>
      <c r="N89" s="42" t="s">
        <v>46</v>
      </c>
      <c r="O89" s="36" t="s">
        <v>47</v>
      </c>
    </row>
    <row r="90" spans="1:15">
      <c r="A90" s="36" t="s">
        <v>788</v>
      </c>
      <c r="B90" s="41">
        <v>2</v>
      </c>
      <c r="C90" s="38" t="s">
        <v>44</v>
      </c>
      <c r="D90" s="39"/>
      <c r="E90" s="39"/>
      <c r="F90" s="34" t="s">
        <v>289</v>
      </c>
      <c r="G90" s="40">
        <v>45931</v>
      </c>
      <c r="H90" s="36" t="s">
        <v>789</v>
      </c>
      <c r="I90" s="36" t="s">
        <v>790</v>
      </c>
      <c r="J90" s="36" t="s">
        <v>791</v>
      </c>
      <c r="K90" s="36" t="s">
        <v>45</v>
      </c>
      <c r="L90" s="42" t="s">
        <v>46</v>
      </c>
      <c r="M90" s="42" t="s">
        <v>46</v>
      </c>
      <c r="N90" s="42" t="s">
        <v>46</v>
      </c>
      <c r="O90" s="36" t="s">
        <v>47</v>
      </c>
    </row>
    <row r="91" spans="1:15">
      <c r="A91" s="36" t="s">
        <v>792</v>
      </c>
      <c r="B91" s="41">
        <v>2</v>
      </c>
      <c r="C91" s="38" t="s">
        <v>44</v>
      </c>
      <c r="D91" s="39"/>
      <c r="E91" s="39"/>
      <c r="F91" s="34" t="s">
        <v>289</v>
      </c>
      <c r="G91" s="40">
        <v>45931</v>
      </c>
      <c r="H91" s="36" t="s">
        <v>793</v>
      </c>
      <c r="I91" s="36" t="s">
        <v>794</v>
      </c>
      <c r="J91" s="36" t="s">
        <v>795</v>
      </c>
      <c r="K91" s="36" t="s">
        <v>45</v>
      </c>
      <c r="L91" s="42" t="s">
        <v>46</v>
      </c>
      <c r="M91" s="42" t="s">
        <v>46</v>
      </c>
      <c r="N91" s="42" t="s">
        <v>46</v>
      </c>
      <c r="O91" s="36" t="s">
        <v>47</v>
      </c>
    </row>
    <row r="92" spans="1:15">
      <c r="A92" s="36" t="s">
        <v>796</v>
      </c>
      <c r="B92" s="41">
        <v>2</v>
      </c>
      <c r="C92" s="38" t="s">
        <v>44</v>
      </c>
      <c r="D92" s="39"/>
      <c r="E92" s="39"/>
      <c r="F92" s="34" t="s">
        <v>289</v>
      </c>
      <c r="G92" s="40">
        <v>45931</v>
      </c>
      <c r="H92" s="36" t="s">
        <v>797</v>
      </c>
      <c r="I92" s="36" t="s">
        <v>798</v>
      </c>
      <c r="J92" s="36" t="s">
        <v>799</v>
      </c>
      <c r="K92" s="36" t="s">
        <v>45</v>
      </c>
      <c r="L92" s="42" t="s">
        <v>46</v>
      </c>
      <c r="M92" s="42" t="s">
        <v>46</v>
      </c>
      <c r="N92" s="42" t="s">
        <v>46</v>
      </c>
      <c r="O92" s="36" t="s">
        <v>47</v>
      </c>
    </row>
    <row r="93" spans="1:15">
      <c r="A93" s="36" t="s">
        <v>800</v>
      </c>
      <c r="B93" s="41">
        <v>2</v>
      </c>
      <c r="C93" s="38" t="s">
        <v>44</v>
      </c>
      <c r="D93" s="39"/>
      <c r="E93" s="39"/>
      <c r="F93" s="34" t="s">
        <v>289</v>
      </c>
      <c r="G93" s="40">
        <v>45931</v>
      </c>
      <c r="H93" s="36" t="s">
        <v>801</v>
      </c>
      <c r="I93" s="36" t="s">
        <v>802</v>
      </c>
      <c r="J93" s="36" t="s">
        <v>803</v>
      </c>
      <c r="K93" s="36" t="s">
        <v>45</v>
      </c>
      <c r="L93" s="42" t="s">
        <v>46</v>
      </c>
      <c r="M93" s="42" t="s">
        <v>46</v>
      </c>
      <c r="N93" s="42" t="s">
        <v>46</v>
      </c>
      <c r="O93" s="36" t="s">
        <v>47</v>
      </c>
    </row>
    <row r="94" spans="1:15" ht="15.75" thickBot="1">
      <c r="A94" s="36" t="s">
        <v>804</v>
      </c>
      <c r="B94" s="41">
        <v>2</v>
      </c>
      <c r="C94" s="38" t="s">
        <v>44</v>
      </c>
      <c r="D94" s="39"/>
      <c r="E94" s="39"/>
      <c r="F94" s="34" t="s">
        <v>289</v>
      </c>
      <c r="G94" s="40">
        <v>45931</v>
      </c>
      <c r="H94" s="36" t="s">
        <v>821</v>
      </c>
      <c r="I94" s="36" t="s">
        <v>805</v>
      </c>
      <c r="J94" s="36" t="s">
        <v>806</v>
      </c>
      <c r="K94" s="36" t="s">
        <v>45</v>
      </c>
      <c r="L94" s="42" t="s">
        <v>46</v>
      </c>
      <c r="M94" s="42" t="s">
        <v>46</v>
      </c>
      <c r="N94" s="42" t="s">
        <v>46</v>
      </c>
      <c r="O94" s="36" t="s">
        <v>47</v>
      </c>
    </row>
    <row r="95" spans="1:15" ht="15.75" thickBot="1">
      <c r="A95" s="44" t="s">
        <v>807</v>
      </c>
      <c r="B95" s="45">
        <v>2</v>
      </c>
      <c r="C95" s="46" t="s">
        <v>44</v>
      </c>
      <c r="D95" s="47"/>
      <c r="E95" s="47"/>
      <c r="F95" s="34" t="s">
        <v>289</v>
      </c>
      <c r="G95" s="49">
        <v>45933</v>
      </c>
      <c r="H95" s="50" t="s">
        <v>966</v>
      </c>
      <c r="I95" s="50" t="s">
        <v>967</v>
      </c>
      <c r="J95" s="50" t="s">
        <v>968</v>
      </c>
      <c r="K95" s="50" t="s">
        <v>45</v>
      </c>
      <c r="L95" s="48" t="s">
        <v>46</v>
      </c>
      <c r="M95" s="48" t="s">
        <v>46</v>
      </c>
      <c r="N95" s="48" t="s">
        <v>46</v>
      </c>
      <c r="O95" s="50" t="s">
        <v>47</v>
      </c>
    </row>
    <row r="96" spans="1:15" ht="15.75" thickBot="1">
      <c r="A96" s="51" t="s">
        <v>808</v>
      </c>
      <c r="B96" s="52">
        <v>2</v>
      </c>
      <c r="C96" s="53" t="s">
        <v>44</v>
      </c>
      <c r="D96" s="54"/>
      <c r="E96" s="54"/>
      <c r="F96" s="34" t="s">
        <v>289</v>
      </c>
      <c r="G96" s="56">
        <v>45933</v>
      </c>
      <c r="H96" s="57" t="s">
        <v>969</v>
      </c>
      <c r="I96" s="57" t="s">
        <v>970</v>
      </c>
      <c r="J96" s="57" t="s">
        <v>971</v>
      </c>
      <c r="K96" s="57" t="s">
        <v>45</v>
      </c>
      <c r="L96" s="55" t="s">
        <v>46</v>
      </c>
      <c r="M96" s="55" t="s">
        <v>46</v>
      </c>
      <c r="N96" s="55" t="s">
        <v>46</v>
      </c>
      <c r="O96" s="57" t="s">
        <v>47</v>
      </c>
    </row>
    <row r="97" spans="1:15" ht="15.75" thickBot="1">
      <c r="A97" s="51" t="s">
        <v>809</v>
      </c>
      <c r="B97" s="52">
        <v>2</v>
      </c>
      <c r="C97" s="53" t="s">
        <v>44</v>
      </c>
      <c r="D97" s="54"/>
      <c r="E97" s="54"/>
      <c r="F97" s="34" t="s">
        <v>289</v>
      </c>
      <c r="G97" s="56">
        <v>45933</v>
      </c>
      <c r="H97" s="57" t="s">
        <v>972</v>
      </c>
      <c r="I97" s="57" t="s">
        <v>973</v>
      </c>
      <c r="J97" s="57" t="s">
        <v>974</v>
      </c>
      <c r="K97" s="57" t="s">
        <v>45</v>
      </c>
      <c r="L97" s="55" t="s">
        <v>46</v>
      </c>
      <c r="M97" s="55" t="s">
        <v>46</v>
      </c>
      <c r="N97" s="55" t="s">
        <v>46</v>
      </c>
      <c r="O97" s="57" t="s">
        <v>47</v>
      </c>
    </row>
    <row r="98" spans="1:15" ht="15.75" thickBot="1">
      <c r="A98" s="51" t="s">
        <v>810</v>
      </c>
      <c r="B98" s="52">
        <v>2</v>
      </c>
      <c r="C98" s="53" t="s">
        <v>44</v>
      </c>
      <c r="D98" s="54"/>
      <c r="E98" s="54"/>
      <c r="F98" s="34" t="s">
        <v>289</v>
      </c>
      <c r="G98" s="56">
        <v>45933</v>
      </c>
      <c r="H98" s="57" t="s">
        <v>975</v>
      </c>
      <c r="I98" s="57" t="s">
        <v>976</v>
      </c>
      <c r="J98" s="57" t="s">
        <v>977</v>
      </c>
      <c r="K98" s="57" t="s">
        <v>45</v>
      </c>
      <c r="L98" s="55" t="s">
        <v>46</v>
      </c>
      <c r="M98" s="55" t="s">
        <v>46</v>
      </c>
      <c r="N98" s="55" t="s">
        <v>46</v>
      </c>
      <c r="O98" s="57" t="s">
        <v>47</v>
      </c>
    </row>
    <row r="99" spans="1:15" ht="15.75" thickBot="1">
      <c r="A99" s="51" t="s">
        <v>811</v>
      </c>
      <c r="B99" s="52">
        <v>2</v>
      </c>
      <c r="C99" s="53" t="s">
        <v>44</v>
      </c>
      <c r="D99" s="54"/>
      <c r="E99" s="54"/>
      <c r="F99" s="34" t="s">
        <v>289</v>
      </c>
      <c r="G99" s="56">
        <v>45933</v>
      </c>
      <c r="H99" s="57" t="s">
        <v>978</v>
      </c>
      <c r="I99" s="57" t="s">
        <v>1132</v>
      </c>
      <c r="J99" s="57" t="s">
        <v>979</v>
      </c>
      <c r="K99" s="57" t="s">
        <v>45</v>
      </c>
      <c r="L99" s="55" t="s">
        <v>46</v>
      </c>
      <c r="M99" s="55" t="s">
        <v>46</v>
      </c>
      <c r="N99" s="55" t="s">
        <v>46</v>
      </c>
      <c r="O99" s="57" t="s">
        <v>47</v>
      </c>
    </row>
    <row r="100" spans="1:15" ht="15.75" thickBot="1">
      <c r="A100" s="51" t="s">
        <v>980</v>
      </c>
      <c r="B100" s="58">
        <v>3</v>
      </c>
      <c r="C100" s="53" t="s">
        <v>44</v>
      </c>
      <c r="D100" s="54"/>
      <c r="E100" s="54"/>
      <c r="F100" s="34" t="s">
        <v>289</v>
      </c>
      <c r="G100" s="56">
        <v>45940</v>
      </c>
      <c r="H100" s="57" t="s">
        <v>981</v>
      </c>
      <c r="I100" s="57" t="s">
        <v>982</v>
      </c>
      <c r="J100" s="57" t="s">
        <v>983</v>
      </c>
      <c r="K100" s="57" t="s">
        <v>45</v>
      </c>
      <c r="L100" s="55" t="s">
        <v>46</v>
      </c>
      <c r="M100" s="55" t="s">
        <v>46</v>
      </c>
      <c r="N100" s="55" t="s">
        <v>46</v>
      </c>
      <c r="O100" s="57" t="s">
        <v>47</v>
      </c>
    </row>
    <row r="101" spans="1:15" ht="15.75" thickBot="1">
      <c r="A101" s="51" t="s">
        <v>984</v>
      </c>
      <c r="B101" s="58">
        <v>3</v>
      </c>
      <c r="C101" s="53" t="s">
        <v>44</v>
      </c>
      <c r="D101" s="54"/>
      <c r="E101" s="54"/>
      <c r="F101" s="34" t="s">
        <v>289</v>
      </c>
      <c r="G101" s="56">
        <v>45940</v>
      </c>
      <c r="H101" s="57" t="s">
        <v>985</v>
      </c>
      <c r="I101" s="57" t="s">
        <v>986</v>
      </c>
      <c r="J101" s="57" t="s">
        <v>987</v>
      </c>
      <c r="K101" s="57" t="s">
        <v>45</v>
      </c>
      <c r="L101" s="55" t="s">
        <v>46</v>
      </c>
      <c r="M101" s="55" t="s">
        <v>46</v>
      </c>
      <c r="N101" s="55" t="s">
        <v>46</v>
      </c>
      <c r="O101" s="57" t="s">
        <v>47</v>
      </c>
    </row>
    <row r="102" spans="1:15" ht="15.75" thickBot="1">
      <c r="A102" s="51" t="s">
        <v>988</v>
      </c>
      <c r="B102" s="58">
        <v>3</v>
      </c>
      <c r="C102" s="53" t="s">
        <v>44</v>
      </c>
      <c r="D102" s="54"/>
      <c r="E102" s="54"/>
      <c r="F102" s="34" t="s">
        <v>289</v>
      </c>
      <c r="G102" s="56">
        <v>45940</v>
      </c>
      <c r="H102" s="57" t="s">
        <v>989</v>
      </c>
      <c r="I102" s="57" t="s">
        <v>990</v>
      </c>
      <c r="J102" s="57" t="s">
        <v>991</v>
      </c>
      <c r="K102" s="57" t="s">
        <v>45</v>
      </c>
      <c r="L102" s="55" t="s">
        <v>46</v>
      </c>
      <c r="M102" s="55" t="s">
        <v>46</v>
      </c>
      <c r="N102" s="55" t="s">
        <v>46</v>
      </c>
      <c r="O102" s="57" t="s">
        <v>47</v>
      </c>
    </row>
    <row r="103" spans="1:15" ht="15.75" thickBot="1">
      <c r="A103" s="51" t="s">
        <v>992</v>
      </c>
      <c r="B103" s="58">
        <v>3</v>
      </c>
      <c r="C103" s="53" t="s">
        <v>44</v>
      </c>
      <c r="D103" s="54"/>
      <c r="E103" s="54"/>
      <c r="F103" s="34" t="s">
        <v>289</v>
      </c>
      <c r="G103" s="56">
        <v>45940</v>
      </c>
      <c r="H103" s="57" t="s">
        <v>993</v>
      </c>
      <c r="I103" s="57" t="s">
        <v>994</v>
      </c>
      <c r="J103" s="57" t="s">
        <v>995</v>
      </c>
      <c r="K103" s="57" t="s">
        <v>45</v>
      </c>
      <c r="L103" s="55" t="s">
        <v>46</v>
      </c>
      <c r="M103" s="55" t="s">
        <v>46</v>
      </c>
      <c r="N103" s="55" t="s">
        <v>46</v>
      </c>
      <c r="O103" s="57" t="s">
        <v>47</v>
      </c>
    </row>
    <row r="104" spans="1:15" ht="15.75" thickBot="1">
      <c r="A104" s="51" t="s">
        <v>996</v>
      </c>
      <c r="B104" s="58">
        <v>3</v>
      </c>
      <c r="C104" s="53" t="s">
        <v>44</v>
      </c>
      <c r="D104" s="54"/>
      <c r="E104" s="54"/>
      <c r="F104" s="34" t="s">
        <v>289</v>
      </c>
      <c r="G104" s="56">
        <v>45940</v>
      </c>
      <c r="H104" s="57" t="s">
        <v>997</v>
      </c>
      <c r="I104" s="57" t="s">
        <v>998</v>
      </c>
      <c r="J104" s="57" t="s">
        <v>999</v>
      </c>
      <c r="K104" s="57" t="s">
        <v>45</v>
      </c>
      <c r="L104" s="55" t="s">
        <v>46</v>
      </c>
      <c r="M104" s="55" t="s">
        <v>46</v>
      </c>
      <c r="N104" s="55" t="s">
        <v>46</v>
      </c>
      <c r="O104" s="57" t="s">
        <v>47</v>
      </c>
    </row>
    <row r="105" spans="1:15" ht="15.75" thickBot="1">
      <c r="A105" s="51" t="s">
        <v>1000</v>
      </c>
      <c r="B105" s="58">
        <v>3</v>
      </c>
      <c r="C105" s="53" t="s">
        <v>44</v>
      </c>
      <c r="D105" s="54"/>
      <c r="E105" s="54"/>
      <c r="F105" s="34" t="s">
        <v>289</v>
      </c>
      <c r="G105" s="56">
        <v>45940</v>
      </c>
      <c r="H105" s="57" t="s">
        <v>1001</v>
      </c>
      <c r="I105" s="57" t="s">
        <v>1002</v>
      </c>
      <c r="J105" s="57" t="s">
        <v>1003</v>
      </c>
      <c r="K105" s="57" t="s">
        <v>45</v>
      </c>
      <c r="L105" s="55" t="s">
        <v>46</v>
      </c>
      <c r="M105" s="55" t="s">
        <v>46</v>
      </c>
      <c r="N105" s="55" t="s">
        <v>46</v>
      </c>
      <c r="O105" s="57" t="s">
        <v>47</v>
      </c>
    </row>
    <row r="106" spans="1:15" ht="15.75" thickBot="1">
      <c r="A106" s="51" t="s">
        <v>1004</v>
      </c>
      <c r="B106" s="58">
        <v>3</v>
      </c>
      <c r="C106" s="53" t="s">
        <v>44</v>
      </c>
      <c r="D106" s="54"/>
      <c r="E106" s="54"/>
      <c r="F106" s="34" t="s">
        <v>289</v>
      </c>
      <c r="G106" s="56">
        <v>45940</v>
      </c>
      <c r="H106" s="57" t="s">
        <v>1005</v>
      </c>
      <c r="I106" s="57" t="s">
        <v>1006</v>
      </c>
      <c r="J106" s="57" t="s">
        <v>1007</v>
      </c>
      <c r="K106" s="57" t="s">
        <v>45</v>
      </c>
      <c r="L106" s="55" t="s">
        <v>46</v>
      </c>
      <c r="M106" s="55" t="s">
        <v>46</v>
      </c>
      <c r="N106" s="55" t="s">
        <v>46</v>
      </c>
      <c r="O106" s="57" t="s">
        <v>47</v>
      </c>
    </row>
    <row r="107" spans="1:15" ht="15.75" thickBot="1">
      <c r="A107" s="51" t="s">
        <v>1008</v>
      </c>
      <c r="B107" s="58">
        <v>3</v>
      </c>
      <c r="C107" s="53" t="s">
        <v>44</v>
      </c>
      <c r="D107" s="54"/>
      <c r="E107" s="54"/>
      <c r="F107" s="34" t="s">
        <v>289</v>
      </c>
      <c r="G107" s="56">
        <v>45947</v>
      </c>
      <c r="H107" s="57" t="s">
        <v>1009</v>
      </c>
      <c r="I107" s="57" t="s">
        <v>1010</v>
      </c>
      <c r="J107" s="57" t="s">
        <v>1011</v>
      </c>
      <c r="K107" s="57" t="s">
        <v>45</v>
      </c>
      <c r="L107" s="55" t="s">
        <v>46</v>
      </c>
      <c r="M107" s="55" t="s">
        <v>46</v>
      </c>
      <c r="N107" s="55" t="s">
        <v>46</v>
      </c>
      <c r="O107" s="57" t="s">
        <v>47</v>
      </c>
    </row>
    <row r="108" spans="1:15" ht="15.75" thickBot="1">
      <c r="A108" s="51" t="s">
        <v>1012</v>
      </c>
      <c r="B108" s="58">
        <v>3</v>
      </c>
      <c r="C108" s="53" t="s">
        <v>44</v>
      </c>
      <c r="D108" s="54"/>
      <c r="E108" s="54"/>
      <c r="F108" s="34" t="s">
        <v>289</v>
      </c>
      <c r="G108" s="56">
        <v>45947</v>
      </c>
      <c r="H108" s="57" t="s">
        <v>1013</v>
      </c>
      <c r="I108" s="57" t="s">
        <v>1014</v>
      </c>
      <c r="J108" s="57" t="s">
        <v>1015</v>
      </c>
      <c r="K108" s="57" t="s">
        <v>45</v>
      </c>
      <c r="L108" s="55" t="s">
        <v>46</v>
      </c>
      <c r="M108" s="55" t="s">
        <v>46</v>
      </c>
      <c r="N108" s="55" t="s">
        <v>46</v>
      </c>
      <c r="O108" s="57" t="s">
        <v>47</v>
      </c>
    </row>
    <row r="109" spans="1:15" ht="15.75" thickBot="1">
      <c r="A109" s="51" t="s">
        <v>1016</v>
      </c>
      <c r="B109" s="58">
        <v>3</v>
      </c>
      <c r="C109" s="53" t="s">
        <v>44</v>
      </c>
      <c r="D109" s="54"/>
      <c r="E109" s="54"/>
      <c r="F109" s="34" t="s">
        <v>289</v>
      </c>
      <c r="G109" s="56">
        <v>45947</v>
      </c>
      <c r="H109" s="57" t="s">
        <v>1017</v>
      </c>
      <c r="I109" s="57" t="s">
        <v>1018</v>
      </c>
      <c r="J109" s="57" t="s">
        <v>1019</v>
      </c>
      <c r="K109" s="57" t="s">
        <v>45</v>
      </c>
      <c r="L109" s="55" t="s">
        <v>46</v>
      </c>
      <c r="M109" s="55" t="s">
        <v>46</v>
      </c>
      <c r="N109" s="55" t="s">
        <v>46</v>
      </c>
      <c r="O109" s="57" t="s">
        <v>47</v>
      </c>
    </row>
    <row r="110" spans="1:15" ht="15.75" thickBot="1">
      <c r="A110" s="51" t="s">
        <v>1020</v>
      </c>
      <c r="B110" s="58">
        <v>3</v>
      </c>
      <c r="C110" s="53" t="s">
        <v>44</v>
      </c>
      <c r="D110" s="54"/>
      <c r="E110" s="54"/>
      <c r="F110" s="34" t="s">
        <v>289</v>
      </c>
      <c r="G110" s="56">
        <v>45947</v>
      </c>
      <c r="H110" s="57" t="s">
        <v>1021</v>
      </c>
      <c r="I110" s="57" t="s">
        <v>1022</v>
      </c>
      <c r="J110" s="57" t="s">
        <v>1023</v>
      </c>
      <c r="K110" s="57" t="s">
        <v>45</v>
      </c>
      <c r="L110" s="55" t="s">
        <v>46</v>
      </c>
      <c r="M110" s="55" t="s">
        <v>46</v>
      </c>
      <c r="N110" s="55" t="s">
        <v>46</v>
      </c>
      <c r="O110" s="57" t="s">
        <v>47</v>
      </c>
    </row>
    <row r="111" spans="1:15" ht="15.75" thickBot="1">
      <c r="A111" s="51" t="s">
        <v>1024</v>
      </c>
      <c r="B111" s="58">
        <v>3</v>
      </c>
      <c r="C111" s="53" t="s">
        <v>44</v>
      </c>
      <c r="D111" s="54"/>
      <c r="E111" s="54"/>
      <c r="F111" s="34" t="s">
        <v>289</v>
      </c>
      <c r="G111" s="56">
        <v>45947</v>
      </c>
      <c r="H111" s="57" t="s">
        <v>1025</v>
      </c>
      <c r="I111" s="57" t="s">
        <v>1026</v>
      </c>
      <c r="J111" s="57" t="s">
        <v>1027</v>
      </c>
      <c r="K111" s="57" t="s">
        <v>45</v>
      </c>
      <c r="L111" s="55" t="s">
        <v>46</v>
      </c>
      <c r="M111" s="55" t="s">
        <v>46</v>
      </c>
      <c r="N111" s="55" t="s">
        <v>46</v>
      </c>
      <c r="O111" s="57" t="s">
        <v>47</v>
      </c>
    </row>
    <row r="112" spans="1:15" ht="15.75" thickBot="1">
      <c r="A112" s="51" t="s">
        <v>1028</v>
      </c>
      <c r="B112" s="58">
        <v>3</v>
      </c>
      <c r="C112" s="53" t="s">
        <v>44</v>
      </c>
      <c r="D112" s="54"/>
      <c r="E112" s="54"/>
      <c r="F112" s="34" t="s">
        <v>289</v>
      </c>
      <c r="G112" s="56">
        <v>45947</v>
      </c>
      <c r="H112" s="57" t="s">
        <v>1029</v>
      </c>
      <c r="I112" s="57" t="s">
        <v>1030</v>
      </c>
      <c r="J112" s="57" t="s">
        <v>1031</v>
      </c>
      <c r="K112" s="57" t="s">
        <v>45</v>
      </c>
      <c r="L112" s="55" t="s">
        <v>46</v>
      </c>
      <c r="M112" s="55" t="s">
        <v>46</v>
      </c>
      <c r="N112" s="55" t="s">
        <v>46</v>
      </c>
      <c r="O112" s="57" t="s">
        <v>47</v>
      </c>
    </row>
    <row r="113" spans="1:15" ht="15.75" thickBot="1">
      <c r="A113" s="51" t="s">
        <v>1032</v>
      </c>
      <c r="B113" s="58">
        <v>3</v>
      </c>
      <c r="C113" s="53" t="s">
        <v>44</v>
      </c>
      <c r="D113" s="54"/>
      <c r="E113" s="54"/>
      <c r="F113" s="34" t="s">
        <v>289</v>
      </c>
      <c r="G113" s="56">
        <v>45947</v>
      </c>
      <c r="H113" s="57" t="s">
        <v>1033</v>
      </c>
      <c r="I113" s="57" t="s">
        <v>1034</v>
      </c>
      <c r="J113" s="57" t="s">
        <v>1035</v>
      </c>
      <c r="K113" s="57" t="s">
        <v>45</v>
      </c>
      <c r="L113" s="55" t="s">
        <v>46</v>
      </c>
      <c r="M113" s="55" t="s">
        <v>46</v>
      </c>
      <c r="N113" s="55" t="s">
        <v>46</v>
      </c>
      <c r="O113" s="57" t="s">
        <v>47</v>
      </c>
    </row>
    <row r="114" spans="1:15" ht="15.75" thickBot="1">
      <c r="A114" s="51" t="s">
        <v>1036</v>
      </c>
      <c r="B114" s="58">
        <v>3</v>
      </c>
      <c r="C114" s="53" t="s">
        <v>44</v>
      </c>
      <c r="D114" s="54"/>
      <c r="E114" s="54"/>
      <c r="F114" s="34" t="s">
        <v>289</v>
      </c>
      <c r="G114" s="56">
        <v>45947</v>
      </c>
      <c r="H114" s="57" t="s">
        <v>1037</v>
      </c>
      <c r="I114" s="57" t="s">
        <v>1038</v>
      </c>
      <c r="J114" s="57" t="s">
        <v>1039</v>
      </c>
      <c r="K114" s="57" t="s">
        <v>45</v>
      </c>
      <c r="L114" s="55" t="s">
        <v>46</v>
      </c>
      <c r="M114" s="55" t="s">
        <v>46</v>
      </c>
      <c r="N114" s="55" t="s">
        <v>46</v>
      </c>
      <c r="O114" s="57" t="s">
        <v>47</v>
      </c>
    </row>
    <row r="115" spans="1:15" ht="15.75" thickBot="1">
      <c r="A115" s="51" t="s">
        <v>1040</v>
      </c>
      <c r="B115" s="58">
        <v>3</v>
      </c>
      <c r="C115" s="53" t="s">
        <v>44</v>
      </c>
      <c r="D115" s="54"/>
      <c r="E115" s="54"/>
      <c r="F115" s="34" t="s">
        <v>289</v>
      </c>
      <c r="G115" s="56">
        <v>45952</v>
      </c>
      <c r="H115" s="57" t="s">
        <v>1041</v>
      </c>
      <c r="I115" s="57" t="s">
        <v>1042</v>
      </c>
      <c r="J115" s="57" t="s">
        <v>1043</v>
      </c>
      <c r="K115" s="57" t="s">
        <v>45</v>
      </c>
      <c r="L115" s="55" t="s">
        <v>46</v>
      </c>
      <c r="M115" s="55" t="s">
        <v>46</v>
      </c>
      <c r="N115" s="55" t="s">
        <v>46</v>
      </c>
      <c r="O115" s="57" t="s">
        <v>47</v>
      </c>
    </row>
    <row r="116" spans="1:15" ht="15.75" thickBot="1">
      <c r="A116" s="51" t="s">
        <v>1044</v>
      </c>
      <c r="B116" s="58">
        <v>3</v>
      </c>
      <c r="C116" s="53" t="s">
        <v>44</v>
      </c>
      <c r="D116" s="54"/>
      <c r="E116" s="54"/>
      <c r="F116" s="34" t="s">
        <v>289</v>
      </c>
      <c r="G116" s="56">
        <v>45952</v>
      </c>
      <c r="H116" s="57" t="s">
        <v>1045</v>
      </c>
      <c r="I116" s="57" t="s">
        <v>1046</v>
      </c>
      <c r="J116" s="57" t="s">
        <v>1047</v>
      </c>
      <c r="K116" s="57" t="s">
        <v>45</v>
      </c>
      <c r="L116" s="55" t="s">
        <v>46</v>
      </c>
      <c r="M116" s="55" t="s">
        <v>46</v>
      </c>
      <c r="N116" s="55" t="s">
        <v>46</v>
      </c>
      <c r="O116" s="57" t="s">
        <v>47</v>
      </c>
    </row>
    <row r="117" spans="1:15" ht="15.75" thickBot="1">
      <c r="A117" s="51" t="s">
        <v>1048</v>
      </c>
      <c r="B117" s="58">
        <v>3</v>
      </c>
      <c r="C117" s="53" t="s">
        <v>44</v>
      </c>
      <c r="D117" s="54"/>
      <c r="E117" s="54"/>
      <c r="F117" s="34" t="s">
        <v>289</v>
      </c>
      <c r="G117" s="56">
        <v>45952</v>
      </c>
      <c r="H117" s="57" t="s">
        <v>1049</v>
      </c>
      <c r="I117" s="57" t="s">
        <v>1050</v>
      </c>
      <c r="J117" s="57" t="s">
        <v>1051</v>
      </c>
      <c r="K117" s="57" t="s">
        <v>45</v>
      </c>
      <c r="L117" s="55" t="s">
        <v>46</v>
      </c>
      <c r="M117" s="55" t="s">
        <v>46</v>
      </c>
      <c r="N117" s="55" t="s">
        <v>46</v>
      </c>
      <c r="O117" s="57" t="s">
        <v>47</v>
      </c>
    </row>
    <row r="118" spans="1:15" ht="15.75" thickBot="1">
      <c r="A118" s="51" t="s">
        <v>1052</v>
      </c>
      <c r="B118" s="58">
        <v>3</v>
      </c>
      <c r="C118" s="53" t="s">
        <v>44</v>
      </c>
      <c r="D118" s="54"/>
      <c r="E118" s="54"/>
      <c r="F118" s="34" t="s">
        <v>289</v>
      </c>
      <c r="G118" s="56">
        <v>45952</v>
      </c>
      <c r="H118" s="57" t="s">
        <v>1053</v>
      </c>
      <c r="I118" s="57" t="s">
        <v>1054</v>
      </c>
      <c r="J118" s="57" t="s">
        <v>1055</v>
      </c>
      <c r="K118" s="57" t="s">
        <v>45</v>
      </c>
      <c r="L118" s="55" t="s">
        <v>46</v>
      </c>
      <c r="M118" s="55" t="s">
        <v>46</v>
      </c>
      <c r="N118" s="55" t="s">
        <v>46</v>
      </c>
      <c r="O118" s="57" t="s">
        <v>47</v>
      </c>
    </row>
    <row r="119" spans="1:15" ht="15.75" thickBot="1">
      <c r="A119" s="51" t="s">
        <v>1056</v>
      </c>
      <c r="B119" s="58">
        <v>3</v>
      </c>
      <c r="C119" s="53" t="s">
        <v>44</v>
      </c>
      <c r="D119" s="54"/>
      <c r="E119" s="54"/>
      <c r="F119" s="34" t="s">
        <v>289</v>
      </c>
      <c r="G119" s="56">
        <v>45952</v>
      </c>
      <c r="H119" s="57" t="s">
        <v>1057</v>
      </c>
      <c r="I119" s="57" t="s">
        <v>1058</v>
      </c>
      <c r="J119" s="57" t="s">
        <v>1059</v>
      </c>
      <c r="K119" s="57" t="s">
        <v>45</v>
      </c>
      <c r="L119" s="55" t="s">
        <v>46</v>
      </c>
      <c r="M119" s="55" t="s">
        <v>46</v>
      </c>
      <c r="N119" s="55" t="s">
        <v>46</v>
      </c>
      <c r="O119" s="57" t="s">
        <v>47</v>
      </c>
    </row>
    <row r="120" spans="1:15" ht="15.75" thickBot="1">
      <c r="A120" s="51" t="s">
        <v>1060</v>
      </c>
      <c r="B120" s="58">
        <v>3</v>
      </c>
      <c r="C120" s="53" t="s">
        <v>44</v>
      </c>
      <c r="D120" s="54"/>
      <c r="E120" s="54"/>
      <c r="F120" s="34" t="s">
        <v>289</v>
      </c>
      <c r="G120" s="56">
        <v>45952</v>
      </c>
      <c r="H120" s="57" t="s">
        <v>1061</v>
      </c>
      <c r="I120" s="57" t="s">
        <v>1062</v>
      </c>
      <c r="J120" s="57" t="s">
        <v>1063</v>
      </c>
      <c r="K120" s="57" t="s">
        <v>45</v>
      </c>
      <c r="L120" s="55" t="s">
        <v>46</v>
      </c>
      <c r="M120" s="55" t="s">
        <v>46</v>
      </c>
      <c r="N120" s="55" t="s">
        <v>46</v>
      </c>
      <c r="O120" s="57" t="s">
        <v>47</v>
      </c>
    </row>
    <row r="121" spans="1:15" ht="15.75" thickBot="1">
      <c r="A121" s="51" t="s">
        <v>1064</v>
      </c>
      <c r="B121" s="58">
        <v>3</v>
      </c>
      <c r="C121" s="53" t="s">
        <v>44</v>
      </c>
      <c r="D121" s="54"/>
      <c r="E121" s="54"/>
      <c r="F121" s="34" t="s">
        <v>289</v>
      </c>
      <c r="G121" s="56">
        <v>45952</v>
      </c>
      <c r="H121" s="57" t="s">
        <v>1065</v>
      </c>
      <c r="I121" s="57" t="s">
        <v>1066</v>
      </c>
      <c r="J121" s="57" t="s">
        <v>1067</v>
      </c>
      <c r="K121" s="57" t="s">
        <v>45</v>
      </c>
      <c r="L121" s="55" t="s">
        <v>46</v>
      </c>
      <c r="M121" s="55" t="s">
        <v>46</v>
      </c>
      <c r="N121" s="55" t="s">
        <v>46</v>
      </c>
      <c r="O121" s="57" t="s">
        <v>47</v>
      </c>
    </row>
    <row r="122" spans="1:15" ht="15.75" thickBot="1">
      <c r="A122" s="51" t="s">
        <v>1068</v>
      </c>
      <c r="B122" s="58">
        <v>3</v>
      </c>
      <c r="C122" s="53" t="s">
        <v>44</v>
      </c>
      <c r="D122" s="54"/>
      <c r="E122" s="54"/>
      <c r="F122" s="34" t="s">
        <v>289</v>
      </c>
      <c r="G122" s="56">
        <v>45952</v>
      </c>
      <c r="H122" s="57" t="s">
        <v>1069</v>
      </c>
      <c r="I122" s="57" t="s">
        <v>1070</v>
      </c>
      <c r="J122" s="57" t="s">
        <v>1071</v>
      </c>
      <c r="K122" s="57" t="s">
        <v>45</v>
      </c>
      <c r="L122" s="55" t="s">
        <v>46</v>
      </c>
      <c r="M122" s="55" t="s">
        <v>46</v>
      </c>
      <c r="N122" s="55" t="s">
        <v>46</v>
      </c>
      <c r="O122" s="57" t="s">
        <v>47</v>
      </c>
    </row>
    <row r="123" spans="1:15" ht="15.75" thickBot="1">
      <c r="A123" s="51" t="s">
        <v>1072</v>
      </c>
      <c r="B123" s="58">
        <v>3</v>
      </c>
      <c r="C123" s="53" t="s">
        <v>44</v>
      </c>
      <c r="D123" s="54"/>
      <c r="E123" s="54"/>
      <c r="F123" s="34" t="s">
        <v>289</v>
      </c>
      <c r="G123" s="56">
        <v>45952</v>
      </c>
      <c r="H123" s="57" t="s">
        <v>1073</v>
      </c>
      <c r="I123" s="57" t="s">
        <v>1074</v>
      </c>
      <c r="J123" s="57" t="s">
        <v>1075</v>
      </c>
      <c r="K123" s="57" t="s">
        <v>45</v>
      </c>
      <c r="L123" s="55" t="s">
        <v>46</v>
      </c>
      <c r="M123" s="55" t="s">
        <v>46</v>
      </c>
      <c r="N123" s="55" t="s">
        <v>46</v>
      </c>
      <c r="O123" s="57" t="s">
        <v>47</v>
      </c>
    </row>
    <row r="124" spans="1:15" ht="15.75" thickBot="1">
      <c r="A124" s="51" t="s">
        <v>1076</v>
      </c>
      <c r="B124" s="58">
        <v>3</v>
      </c>
      <c r="C124" s="53" t="s">
        <v>44</v>
      </c>
      <c r="D124" s="54"/>
      <c r="E124" s="54"/>
      <c r="F124" s="34" t="s">
        <v>289</v>
      </c>
      <c r="G124" s="56">
        <v>45952</v>
      </c>
      <c r="H124" s="57" t="s">
        <v>1077</v>
      </c>
      <c r="I124" s="57" t="s">
        <v>1078</v>
      </c>
      <c r="J124" s="57" t="s">
        <v>1079</v>
      </c>
      <c r="K124" s="57" t="s">
        <v>45</v>
      </c>
      <c r="L124" s="59" t="s">
        <v>310</v>
      </c>
      <c r="M124" s="55" t="s">
        <v>46</v>
      </c>
      <c r="N124" s="55" t="s">
        <v>46</v>
      </c>
      <c r="O124" s="57" t="s">
        <v>47</v>
      </c>
    </row>
    <row r="125" spans="1:15" ht="15.75" thickBot="1">
      <c r="A125" s="51" t="s">
        <v>1080</v>
      </c>
      <c r="B125" s="58">
        <v>3</v>
      </c>
      <c r="C125" s="53" t="s">
        <v>44</v>
      </c>
      <c r="D125" s="54"/>
      <c r="E125" s="54"/>
      <c r="F125" s="34" t="s">
        <v>289</v>
      </c>
      <c r="G125" s="56">
        <v>45952</v>
      </c>
      <c r="H125" s="57" t="s">
        <v>1081</v>
      </c>
      <c r="I125" s="57" t="s">
        <v>1082</v>
      </c>
      <c r="J125" s="57" t="s">
        <v>1083</v>
      </c>
      <c r="K125" s="57" t="s">
        <v>45</v>
      </c>
      <c r="L125" s="55" t="s">
        <v>46</v>
      </c>
      <c r="M125" s="59" t="s">
        <v>310</v>
      </c>
      <c r="N125" s="59" t="s">
        <v>310</v>
      </c>
      <c r="O125" s="57" t="s">
        <v>47</v>
      </c>
    </row>
    <row r="126" spans="1:15" ht="15.75" thickBot="1">
      <c r="A126" s="51" t="s">
        <v>1084</v>
      </c>
      <c r="B126" s="58">
        <v>3</v>
      </c>
      <c r="C126" s="53" t="s">
        <v>44</v>
      </c>
      <c r="D126" s="54"/>
      <c r="E126" s="54"/>
      <c r="F126" s="34" t="s">
        <v>289</v>
      </c>
      <c r="G126" s="56">
        <v>45952</v>
      </c>
      <c r="H126" s="57" t="s">
        <v>1085</v>
      </c>
      <c r="I126" s="57" t="s">
        <v>1086</v>
      </c>
      <c r="J126" s="57" t="s">
        <v>1087</v>
      </c>
      <c r="K126" s="57" t="s">
        <v>45</v>
      </c>
      <c r="L126" s="59" t="s">
        <v>310</v>
      </c>
      <c r="M126" s="55" t="s">
        <v>46</v>
      </c>
      <c r="N126" s="55" t="s">
        <v>46</v>
      </c>
      <c r="O126" s="57" t="s">
        <v>47</v>
      </c>
    </row>
    <row r="127" spans="1:15" ht="15.75" thickBot="1">
      <c r="A127" s="51" t="s">
        <v>1088</v>
      </c>
      <c r="B127" s="58">
        <v>3</v>
      </c>
      <c r="C127" s="53" t="s">
        <v>44</v>
      </c>
      <c r="D127" s="54"/>
      <c r="E127" s="54"/>
      <c r="F127" s="34" t="s">
        <v>289</v>
      </c>
      <c r="G127" s="56">
        <v>45954</v>
      </c>
      <c r="H127" s="57" t="s">
        <v>1089</v>
      </c>
      <c r="I127" s="57" t="s">
        <v>1090</v>
      </c>
      <c r="J127" s="57" t="s">
        <v>1091</v>
      </c>
      <c r="K127" s="57" t="s">
        <v>45</v>
      </c>
      <c r="L127" s="55" t="s">
        <v>46</v>
      </c>
      <c r="M127" s="55" t="s">
        <v>46</v>
      </c>
      <c r="N127" s="55" t="s">
        <v>46</v>
      </c>
      <c r="O127" s="57" t="s">
        <v>47</v>
      </c>
    </row>
    <row r="128" spans="1:15" ht="15.75" thickBot="1">
      <c r="A128" s="51" t="s">
        <v>1092</v>
      </c>
      <c r="B128" s="58">
        <v>3</v>
      </c>
      <c r="C128" s="53" t="s">
        <v>44</v>
      </c>
      <c r="D128" s="54"/>
      <c r="E128" s="54"/>
      <c r="F128" s="34" t="s">
        <v>289</v>
      </c>
      <c r="G128" s="56">
        <v>45954</v>
      </c>
      <c r="H128" s="57" t="s">
        <v>1093</v>
      </c>
      <c r="I128" s="57" t="s">
        <v>1094</v>
      </c>
      <c r="J128" s="57" t="s">
        <v>1095</v>
      </c>
      <c r="K128" s="57" t="s">
        <v>45</v>
      </c>
      <c r="L128" s="55" t="s">
        <v>46</v>
      </c>
      <c r="M128" s="55" t="s">
        <v>46</v>
      </c>
      <c r="N128" s="55" t="s">
        <v>46</v>
      </c>
      <c r="O128" s="57" t="s">
        <v>47</v>
      </c>
    </row>
    <row r="129" spans="1:15" ht="15.75" thickBot="1">
      <c r="A129" s="51" t="s">
        <v>1096</v>
      </c>
      <c r="B129" s="58">
        <v>3</v>
      </c>
      <c r="C129" s="53" t="s">
        <v>44</v>
      </c>
      <c r="D129" s="54"/>
      <c r="E129" s="54"/>
      <c r="F129" s="34" t="s">
        <v>289</v>
      </c>
      <c r="G129" s="56">
        <v>45954</v>
      </c>
      <c r="H129" s="57" t="s">
        <v>1097</v>
      </c>
      <c r="I129" s="57" t="s">
        <v>1098</v>
      </c>
      <c r="J129" s="57" t="s">
        <v>1099</v>
      </c>
      <c r="K129" s="57" t="s">
        <v>45</v>
      </c>
      <c r="L129" s="55" t="s">
        <v>46</v>
      </c>
      <c r="M129" s="55" t="s">
        <v>46</v>
      </c>
      <c r="N129" s="59" t="s">
        <v>310</v>
      </c>
      <c r="O129" s="57" t="s">
        <v>47</v>
      </c>
    </row>
    <row r="130" spans="1:15" ht="15.75" thickBot="1">
      <c r="A130" s="51" t="s">
        <v>1100</v>
      </c>
      <c r="B130" s="58">
        <v>3</v>
      </c>
      <c r="C130" s="53" t="s">
        <v>44</v>
      </c>
      <c r="D130" s="54"/>
      <c r="E130" s="54"/>
      <c r="F130" s="34" t="s">
        <v>289</v>
      </c>
      <c r="G130" s="56">
        <v>45954</v>
      </c>
      <c r="H130" s="57" t="s">
        <v>1101</v>
      </c>
      <c r="I130" s="57" t="s">
        <v>1102</v>
      </c>
      <c r="J130" s="57" t="s">
        <v>1103</v>
      </c>
      <c r="K130" s="57" t="s">
        <v>45</v>
      </c>
      <c r="L130" s="55" t="s">
        <v>46</v>
      </c>
      <c r="M130" s="55" t="s">
        <v>46</v>
      </c>
      <c r="N130" s="55" t="s">
        <v>46</v>
      </c>
      <c r="O130" s="57" t="s">
        <v>47</v>
      </c>
    </row>
    <row r="131" spans="1:15" ht="15.75" thickBot="1">
      <c r="A131" s="51" t="s">
        <v>1104</v>
      </c>
      <c r="B131" s="58">
        <v>3</v>
      </c>
      <c r="C131" s="53" t="s">
        <v>44</v>
      </c>
      <c r="D131" s="54"/>
      <c r="E131" s="54"/>
      <c r="F131" s="34" t="s">
        <v>289</v>
      </c>
      <c r="G131" s="56">
        <v>45954</v>
      </c>
      <c r="H131" s="57" t="s">
        <v>1105</v>
      </c>
      <c r="I131" s="57" t="s">
        <v>1106</v>
      </c>
      <c r="J131" s="57" t="s">
        <v>1107</v>
      </c>
      <c r="K131" s="57" t="s">
        <v>45</v>
      </c>
      <c r="L131" s="55" t="s">
        <v>46</v>
      </c>
      <c r="M131" s="55" t="s">
        <v>46</v>
      </c>
      <c r="N131" s="55" t="s">
        <v>46</v>
      </c>
      <c r="O131" s="57" t="s">
        <v>47</v>
      </c>
    </row>
    <row r="132" spans="1:15" ht="15.75" thickBot="1">
      <c r="A132" s="51" t="s">
        <v>1108</v>
      </c>
      <c r="B132" s="58">
        <v>3</v>
      </c>
      <c r="C132" s="53" t="s">
        <v>44</v>
      </c>
      <c r="D132" s="54"/>
      <c r="E132" s="54"/>
      <c r="F132" s="34" t="s">
        <v>289</v>
      </c>
      <c r="G132" s="56">
        <v>45954</v>
      </c>
      <c r="H132" s="57" t="s">
        <v>1109</v>
      </c>
      <c r="I132" s="57" t="s">
        <v>1110</v>
      </c>
      <c r="J132" s="57" t="s">
        <v>1111</v>
      </c>
      <c r="K132" s="57" t="s">
        <v>45</v>
      </c>
      <c r="L132" s="55" t="s">
        <v>46</v>
      </c>
      <c r="M132" s="55" t="s">
        <v>46</v>
      </c>
      <c r="N132" s="55" t="s">
        <v>46</v>
      </c>
      <c r="O132" s="57" t="s">
        <v>47</v>
      </c>
    </row>
    <row r="133" spans="1:15" ht="15.75" thickBot="1">
      <c r="A133" s="51" t="s">
        <v>1112</v>
      </c>
      <c r="B133" s="58">
        <v>3</v>
      </c>
      <c r="C133" s="53" t="s">
        <v>44</v>
      </c>
      <c r="D133" s="54"/>
      <c r="E133" s="54"/>
      <c r="F133" s="34" t="s">
        <v>289</v>
      </c>
      <c r="G133" s="56">
        <v>45954</v>
      </c>
      <c r="H133" s="57" t="s">
        <v>1113</v>
      </c>
      <c r="I133" s="57" t="s">
        <v>1114</v>
      </c>
      <c r="J133" s="57" t="s">
        <v>1115</v>
      </c>
      <c r="K133" s="57" t="s">
        <v>45</v>
      </c>
      <c r="L133" s="55" t="s">
        <v>46</v>
      </c>
      <c r="M133" s="55" t="s">
        <v>46</v>
      </c>
      <c r="N133" s="55" t="s">
        <v>46</v>
      </c>
      <c r="O133" s="57" t="s">
        <v>47</v>
      </c>
    </row>
    <row r="134" spans="1:15" ht="15.75" thickBot="1">
      <c r="A134" s="51" t="s">
        <v>1116</v>
      </c>
      <c r="B134" s="58">
        <v>3</v>
      </c>
      <c r="C134" s="53" t="s">
        <v>44</v>
      </c>
      <c r="D134" s="54"/>
      <c r="E134" s="54"/>
      <c r="F134" s="34" t="s">
        <v>289</v>
      </c>
      <c r="G134" s="56">
        <v>45954</v>
      </c>
      <c r="H134" s="57" t="s">
        <v>1117</v>
      </c>
      <c r="I134" s="57" t="s">
        <v>1118</v>
      </c>
      <c r="J134" s="57" t="s">
        <v>1119</v>
      </c>
      <c r="K134" s="57" t="s">
        <v>45</v>
      </c>
      <c r="L134" s="55" t="s">
        <v>46</v>
      </c>
      <c r="M134" s="55" t="s">
        <v>46</v>
      </c>
      <c r="N134" s="55" t="s">
        <v>46</v>
      </c>
      <c r="O134" s="57" t="s">
        <v>47</v>
      </c>
    </row>
    <row r="135" spans="1:15" ht="15.75" thickBot="1">
      <c r="A135" s="51" t="s">
        <v>1120</v>
      </c>
      <c r="B135" s="58">
        <v>3</v>
      </c>
      <c r="C135" s="53" t="s">
        <v>44</v>
      </c>
      <c r="D135" s="54"/>
      <c r="E135" s="54"/>
      <c r="F135" s="34" t="s">
        <v>289</v>
      </c>
      <c r="G135" s="56">
        <v>45954</v>
      </c>
      <c r="H135" s="57" t="s">
        <v>1121</v>
      </c>
      <c r="I135" s="57" t="s">
        <v>1122</v>
      </c>
      <c r="J135" s="57" t="s">
        <v>1123</v>
      </c>
      <c r="K135" s="57" t="s">
        <v>45</v>
      </c>
      <c r="L135" s="55" t="s">
        <v>46</v>
      </c>
      <c r="M135" s="55" t="s">
        <v>46</v>
      </c>
      <c r="N135" s="55" t="s">
        <v>46</v>
      </c>
      <c r="O135" s="57" t="s">
        <v>47</v>
      </c>
    </row>
    <row r="136" spans="1:15" ht="15.75" thickBot="1">
      <c r="A136" s="51" t="s">
        <v>1124</v>
      </c>
      <c r="B136" s="58">
        <v>3</v>
      </c>
      <c r="C136" s="53" t="s">
        <v>44</v>
      </c>
      <c r="D136" s="54"/>
      <c r="E136" s="54"/>
      <c r="F136" s="34" t="s">
        <v>289</v>
      </c>
      <c r="G136" s="56">
        <v>45954</v>
      </c>
      <c r="H136" s="57" t="s">
        <v>1125</v>
      </c>
      <c r="I136" s="57" t="s">
        <v>1126</v>
      </c>
      <c r="J136" s="57" t="s">
        <v>1127</v>
      </c>
      <c r="K136" s="57" t="s">
        <v>45</v>
      </c>
      <c r="L136" s="55" t="s">
        <v>46</v>
      </c>
      <c r="M136" s="55" t="s">
        <v>46</v>
      </c>
      <c r="N136" s="55" t="s">
        <v>46</v>
      </c>
      <c r="O136" s="57" t="s">
        <v>47</v>
      </c>
    </row>
    <row r="137" spans="1:15" ht="15.75" thickBot="1">
      <c r="A137" s="51" t="s">
        <v>1128</v>
      </c>
      <c r="B137" s="58">
        <v>3</v>
      </c>
      <c r="C137" s="53" t="s">
        <v>44</v>
      </c>
      <c r="D137" s="54"/>
      <c r="E137" s="54"/>
      <c r="F137" s="34" t="s">
        <v>289</v>
      </c>
      <c r="G137" s="56">
        <v>45954</v>
      </c>
      <c r="H137" s="57" t="s">
        <v>1129</v>
      </c>
      <c r="I137" s="57" t="s">
        <v>1130</v>
      </c>
      <c r="J137" s="57" t="s">
        <v>1131</v>
      </c>
      <c r="K137" s="57" t="s">
        <v>45</v>
      </c>
      <c r="L137" s="55" t="s">
        <v>46</v>
      </c>
      <c r="M137" s="55" t="s">
        <v>46</v>
      </c>
      <c r="N137" s="55" t="s">
        <v>46</v>
      </c>
      <c r="O137" s="57" t="s">
        <v>47</v>
      </c>
    </row>
    <row r="138" spans="1:15" ht="15.75" thickBot="1">
      <c r="A138" s="44" t="s">
        <v>3</v>
      </c>
      <c r="B138" s="62" t="s">
        <v>1356</v>
      </c>
      <c r="C138" s="61" t="s">
        <v>44</v>
      </c>
      <c r="D138" s="63"/>
      <c r="E138" s="44" t="s">
        <v>1341</v>
      </c>
      <c r="F138" s="34" t="s">
        <v>289</v>
      </c>
      <c r="G138" s="49">
        <v>45959</v>
      </c>
      <c r="H138" s="50" t="s">
        <v>287</v>
      </c>
      <c r="I138" s="50" t="s">
        <v>1262</v>
      </c>
      <c r="J138" s="50" t="s">
        <v>1263</v>
      </c>
      <c r="K138" s="50" t="s">
        <v>45</v>
      </c>
      <c r="L138" s="63" t="s">
        <v>287</v>
      </c>
      <c r="M138" s="48" t="s">
        <v>46</v>
      </c>
      <c r="N138" s="60" t="s">
        <v>310</v>
      </c>
      <c r="O138" s="57" t="s">
        <v>47</v>
      </c>
    </row>
    <row r="139" spans="1:15" ht="15.75" thickBot="1">
      <c r="A139" s="51" t="s">
        <v>6</v>
      </c>
      <c r="B139" s="62" t="s">
        <v>1356</v>
      </c>
      <c r="C139" s="61" t="s">
        <v>44</v>
      </c>
      <c r="D139" s="64"/>
      <c r="E139" s="51" t="s">
        <v>1341</v>
      </c>
      <c r="F139" s="34" t="s">
        <v>289</v>
      </c>
      <c r="G139" s="56">
        <v>45959</v>
      </c>
      <c r="H139" s="57" t="s">
        <v>1264</v>
      </c>
      <c r="I139" s="57" t="s">
        <v>1265</v>
      </c>
      <c r="J139" s="57" t="s">
        <v>1266</v>
      </c>
      <c r="K139" s="57" t="s">
        <v>45</v>
      </c>
      <c r="L139" s="55" t="s">
        <v>46</v>
      </c>
      <c r="M139" s="55" t="s">
        <v>46</v>
      </c>
      <c r="N139" s="59" t="s">
        <v>310</v>
      </c>
      <c r="O139" s="57" t="s">
        <v>47</v>
      </c>
    </row>
    <row r="140" spans="1:15" ht="15.75" thickBot="1">
      <c r="A140" s="51" t="s">
        <v>7</v>
      </c>
      <c r="B140" s="62" t="s">
        <v>1356</v>
      </c>
      <c r="C140" s="61" t="s">
        <v>44</v>
      </c>
      <c r="D140" s="64"/>
      <c r="E140" s="51" t="s">
        <v>1342</v>
      </c>
      <c r="F140" s="34" t="s">
        <v>289</v>
      </c>
      <c r="G140" s="56">
        <v>45959</v>
      </c>
      <c r="H140" s="57" t="s">
        <v>1267</v>
      </c>
      <c r="I140" s="57" t="s">
        <v>1268</v>
      </c>
      <c r="J140" s="57" t="s">
        <v>1269</v>
      </c>
      <c r="K140" s="57" t="s">
        <v>45</v>
      </c>
      <c r="L140" s="55" t="s">
        <v>46</v>
      </c>
      <c r="M140" s="55" t="s">
        <v>46</v>
      </c>
      <c r="N140" s="59" t="s">
        <v>310</v>
      </c>
      <c r="O140" s="57" t="s">
        <v>47</v>
      </c>
    </row>
    <row r="141" spans="1:15" ht="15.75" thickBot="1">
      <c r="A141" s="51" t="s">
        <v>9</v>
      </c>
      <c r="B141" s="62" t="s">
        <v>1356</v>
      </c>
      <c r="C141" s="61" t="s">
        <v>44</v>
      </c>
      <c r="D141" s="64"/>
      <c r="E141" s="51" t="s">
        <v>1343</v>
      </c>
      <c r="F141" s="34" t="s">
        <v>289</v>
      </c>
      <c r="G141" s="56">
        <v>45959</v>
      </c>
      <c r="H141" s="57" t="s">
        <v>1270</v>
      </c>
      <c r="I141" s="57" t="s">
        <v>1271</v>
      </c>
      <c r="J141" s="57" t="s">
        <v>1272</v>
      </c>
      <c r="K141" s="57" t="s">
        <v>45</v>
      </c>
      <c r="L141" s="55" t="s">
        <v>46</v>
      </c>
      <c r="M141" s="55" t="s">
        <v>46</v>
      </c>
      <c r="N141" s="59" t="s">
        <v>310</v>
      </c>
      <c r="O141" s="57" t="s">
        <v>47</v>
      </c>
    </row>
    <row r="142" spans="1:15" ht="15.75" thickBot="1">
      <c r="A142" s="51" t="s">
        <v>10</v>
      </c>
      <c r="B142" s="62" t="s">
        <v>1356</v>
      </c>
      <c r="C142" s="61" t="s">
        <v>44</v>
      </c>
      <c r="D142" s="64"/>
      <c r="E142" s="51" t="s">
        <v>1344</v>
      </c>
      <c r="F142" s="34" t="s">
        <v>289</v>
      </c>
      <c r="G142" s="56">
        <v>45959</v>
      </c>
      <c r="H142" s="57" t="s">
        <v>1273</v>
      </c>
      <c r="I142" s="57" t="s">
        <v>1274</v>
      </c>
      <c r="J142" s="57" t="s">
        <v>1275</v>
      </c>
      <c r="K142" s="57" t="s">
        <v>45</v>
      </c>
      <c r="L142" s="55" t="s">
        <v>46</v>
      </c>
      <c r="M142" s="55" t="s">
        <v>46</v>
      </c>
      <c r="N142" s="55" t="s">
        <v>46</v>
      </c>
      <c r="O142" s="57" t="s">
        <v>47</v>
      </c>
    </row>
    <row r="143" spans="1:15" ht="15.75" thickBot="1">
      <c r="A143" s="51" t="s">
        <v>11</v>
      </c>
      <c r="B143" s="62" t="s">
        <v>1356</v>
      </c>
      <c r="C143" s="61" t="s">
        <v>44</v>
      </c>
      <c r="D143" s="64"/>
      <c r="E143" s="51" t="s">
        <v>1345</v>
      </c>
      <c r="F143" s="34" t="s">
        <v>289</v>
      </c>
      <c r="G143" s="56">
        <v>45959</v>
      </c>
      <c r="H143" s="57" t="s">
        <v>1276</v>
      </c>
      <c r="I143" s="57" t="s">
        <v>1277</v>
      </c>
      <c r="J143" s="57" t="s">
        <v>1278</v>
      </c>
      <c r="K143" s="57" t="s">
        <v>45</v>
      </c>
      <c r="L143" s="55" t="s">
        <v>46</v>
      </c>
      <c r="M143" s="55" t="s">
        <v>46</v>
      </c>
      <c r="N143" s="55" t="s">
        <v>46</v>
      </c>
      <c r="O143" s="57" t="s">
        <v>47</v>
      </c>
    </row>
    <row r="144" spans="1:15" ht="15.75" thickBot="1">
      <c r="A144" s="51" t="s">
        <v>12</v>
      </c>
      <c r="B144" s="62" t="s">
        <v>1356</v>
      </c>
      <c r="C144" s="61" t="s">
        <v>44</v>
      </c>
      <c r="D144" s="64"/>
      <c r="E144" s="51" t="s">
        <v>1345</v>
      </c>
      <c r="F144" s="34" t="s">
        <v>289</v>
      </c>
      <c r="G144" s="56">
        <v>45959</v>
      </c>
      <c r="H144" s="57" t="s">
        <v>1279</v>
      </c>
      <c r="I144" s="57" t="s">
        <v>1280</v>
      </c>
      <c r="J144" s="57" t="s">
        <v>1281</v>
      </c>
      <c r="K144" s="57" t="s">
        <v>45</v>
      </c>
      <c r="L144" s="55" t="s">
        <v>46</v>
      </c>
      <c r="M144" s="55" t="s">
        <v>46</v>
      </c>
      <c r="N144" s="55" t="s">
        <v>46</v>
      </c>
      <c r="O144" s="57" t="s">
        <v>47</v>
      </c>
    </row>
    <row r="145" spans="1:15" ht="15.75" thickBot="1">
      <c r="A145" s="51" t="s">
        <v>13</v>
      </c>
      <c r="B145" s="62" t="s">
        <v>1356</v>
      </c>
      <c r="C145" s="61" t="s">
        <v>44</v>
      </c>
      <c r="D145" s="64"/>
      <c r="E145" s="51" t="s">
        <v>1346</v>
      </c>
      <c r="F145" s="34" t="s">
        <v>289</v>
      </c>
      <c r="G145" s="56">
        <v>45959</v>
      </c>
      <c r="H145" s="57" t="s">
        <v>1282</v>
      </c>
      <c r="I145" s="57" t="s">
        <v>1283</v>
      </c>
      <c r="J145" s="57" t="s">
        <v>1284</v>
      </c>
      <c r="K145" s="57" t="s">
        <v>45</v>
      </c>
      <c r="L145" s="55" t="s">
        <v>46</v>
      </c>
      <c r="M145" s="55" t="s">
        <v>46</v>
      </c>
      <c r="N145" s="59" t="s">
        <v>310</v>
      </c>
      <c r="O145" s="57" t="s">
        <v>47</v>
      </c>
    </row>
    <row r="146" spans="1:15" ht="15.75" thickBot="1">
      <c r="A146" s="51" t="s">
        <v>14</v>
      </c>
      <c r="B146" s="62" t="s">
        <v>1356</v>
      </c>
      <c r="C146" s="61" t="s">
        <v>44</v>
      </c>
      <c r="D146" s="64"/>
      <c r="E146" s="51" t="s">
        <v>1347</v>
      </c>
      <c r="F146" s="34" t="s">
        <v>289</v>
      </c>
      <c r="G146" s="56">
        <v>45961</v>
      </c>
      <c r="H146" s="57" t="s">
        <v>1285</v>
      </c>
      <c r="I146" s="57" t="s">
        <v>1286</v>
      </c>
      <c r="J146" s="57" t="s">
        <v>1287</v>
      </c>
      <c r="K146" s="57" t="s">
        <v>45</v>
      </c>
      <c r="L146" s="55" t="s">
        <v>46</v>
      </c>
      <c r="M146" s="55" t="s">
        <v>46</v>
      </c>
      <c r="N146" s="55" t="s">
        <v>46</v>
      </c>
      <c r="O146" s="57" t="s">
        <v>47</v>
      </c>
    </row>
    <row r="147" spans="1:15" ht="15.75" thickBot="1">
      <c r="A147" s="51" t="s">
        <v>15</v>
      </c>
      <c r="B147" s="62" t="s">
        <v>1356</v>
      </c>
      <c r="C147" s="61" t="s">
        <v>44</v>
      </c>
      <c r="D147" s="64"/>
      <c r="E147" s="51" t="s">
        <v>1345</v>
      </c>
      <c r="F147" s="34" t="s">
        <v>289</v>
      </c>
      <c r="G147" s="56">
        <v>45961</v>
      </c>
      <c r="H147" s="57" t="s">
        <v>1288</v>
      </c>
      <c r="I147" s="57" t="s">
        <v>1289</v>
      </c>
      <c r="J147" s="57" t="s">
        <v>1290</v>
      </c>
      <c r="K147" s="57" t="s">
        <v>45</v>
      </c>
      <c r="L147" s="55" t="s">
        <v>46</v>
      </c>
      <c r="M147" s="55" t="s">
        <v>46</v>
      </c>
      <c r="N147" s="55" t="s">
        <v>46</v>
      </c>
      <c r="O147" s="57" t="s">
        <v>47</v>
      </c>
    </row>
    <row r="148" spans="1:15" ht="15.75" thickBot="1">
      <c r="A148" s="51" t="s">
        <v>16</v>
      </c>
      <c r="B148" s="62" t="s">
        <v>1356</v>
      </c>
      <c r="C148" s="61" t="s">
        <v>44</v>
      </c>
      <c r="D148" s="64"/>
      <c r="E148" s="51" t="s">
        <v>1341</v>
      </c>
      <c r="F148" s="34" t="s">
        <v>289</v>
      </c>
      <c r="G148" s="56">
        <v>45961</v>
      </c>
      <c r="H148" s="57" t="s">
        <v>1291</v>
      </c>
      <c r="I148" s="57" t="s">
        <v>1292</v>
      </c>
      <c r="J148" s="57" t="s">
        <v>1293</v>
      </c>
      <c r="K148" s="57" t="s">
        <v>45</v>
      </c>
      <c r="L148" s="55" t="s">
        <v>46</v>
      </c>
      <c r="M148" s="55" t="s">
        <v>46</v>
      </c>
      <c r="N148" s="55" t="s">
        <v>46</v>
      </c>
      <c r="O148" s="57" t="s">
        <v>47</v>
      </c>
    </row>
    <row r="149" spans="1:15" ht="15.75" thickBot="1">
      <c r="A149" s="51" t="s">
        <v>17</v>
      </c>
      <c r="B149" s="62" t="s">
        <v>1356</v>
      </c>
      <c r="C149" s="61" t="s">
        <v>44</v>
      </c>
      <c r="D149" s="64"/>
      <c r="E149" s="51" t="s">
        <v>1348</v>
      </c>
      <c r="F149" s="34" t="s">
        <v>289</v>
      </c>
      <c r="G149" s="56">
        <v>45961</v>
      </c>
      <c r="H149" s="57" t="s">
        <v>287</v>
      </c>
      <c r="I149" s="57" t="s">
        <v>1294</v>
      </c>
      <c r="J149" s="57" t="s">
        <v>1295</v>
      </c>
      <c r="K149" s="57" t="s">
        <v>45</v>
      </c>
      <c r="L149" s="64" t="s">
        <v>287</v>
      </c>
      <c r="M149" s="55" t="s">
        <v>46</v>
      </c>
      <c r="N149" s="59" t="s">
        <v>310</v>
      </c>
      <c r="O149" s="57" t="s">
        <v>47</v>
      </c>
    </row>
    <row r="150" spans="1:15" ht="15.75" thickBot="1">
      <c r="A150" s="51" t="s">
        <v>18</v>
      </c>
      <c r="B150" s="62" t="s">
        <v>1356</v>
      </c>
      <c r="C150" s="61" t="s">
        <v>44</v>
      </c>
      <c r="D150" s="64"/>
      <c r="E150" s="51" t="s">
        <v>1341</v>
      </c>
      <c r="F150" s="34" t="s">
        <v>289</v>
      </c>
      <c r="G150" s="56">
        <v>45961</v>
      </c>
      <c r="H150" s="57" t="s">
        <v>1296</v>
      </c>
      <c r="I150" s="57" t="s">
        <v>1297</v>
      </c>
      <c r="J150" s="57" t="s">
        <v>1298</v>
      </c>
      <c r="K150" s="57" t="s">
        <v>45</v>
      </c>
      <c r="L150" s="55" t="s">
        <v>46</v>
      </c>
      <c r="M150" s="55" t="s">
        <v>46</v>
      </c>
      <c r="N150" s="59" t="s">
        <v>310</v>
      </c>
      <c r="O150" s="57" t="s">
        <v>47</v>
      </c>
    </row>
    <row r="151" spans="1:15" ht="15.75" thickBot="1">
      <c r="A151" s="51" t="s">
        <v>19</v>
      </c>
      <c r="B151" s="62" t="s">
        <v>1356</v>
      </c>
      <c r="C151" s="61" t="s">
        <v>44</v>
      </c>
      <c r="D151" s="64"/>
      <c r="E151" s="51" t="s">
        <v>1349</v>
      </c>
      <c r="F151" s="34" t="s">
        <v>289</v>
      </c>
      <c r="G151" s="56">
        <v>45961</v>
      </c>
      <c r="H151" s="57" t="s">
        <v>1299</v>
      </c>
      <c r="I151" s="57" t="s">
        <v>1300</v>
      </c>
      <c r="J151" s="57" t="s">
        <v>1301</v>
      </c>
      <c r="K151" s="57" t="s">
        <v>45</v>
      </c>
      <c r="L151" s="55" t="s">
        <v>46</v>
      </c>
      <c r="M151" s="55" t="s">
        <v>46</v>
      </c>
      <c r="N151" s="55" t="s">
        <v>46</v>
      </c>
      <c r="O151" s="57" t="s">
        <v>47</v>
      </c>
    </row>
    <row r="152" spans="1:15" ht="15.75" thickBot="1">
      <c r="A152" s="51" t="s">
        <v>20</v>
      </c>
      <c r="B152" s="62" t="s">
        <v>1356</v>
      </c>
      <c r="C152" s="61" t="s">
        <v>44</v>
      </c>
      <c r="D152" s="64"/>
      <c r="E152" s="51" t="s">
        <v>1350</v>
      </c>
      <c r="F152" s="34" t="s">
        <v>289</v>
      </c>
      <c r="G152" s="56">
        <v>45961</v>
      </c>
      <c r="H152" s="57" t="s">
        <v>1302</v>
      </c>
      <c r="I152" s="57" t="s">
        <v>1303</v>
      </c>
      <c r="J152" s="57" t="s">
        <v>1304</v>
      </c>
      <c r="K152" s="57" t="s">
        <v>45</v>
      </c>
      <c r="L152" s="55" t="s">
        <v>46</v>
      </c>
      <c r="M152" s="55" t="s">
        <v>46</v>
      </c>
      <c r="N152" s="59" t="s">
        <v>310</v>
      </c>
      <c r="O152" s="57" t="s">
        <v>47</v>
      </c>
    </row>
    <row r="153" spans="1:15" ht="15.75" thickBot="1">
      <c r="A153" s="51" t="s">
        <v>22</v>
      </c>
      <c r="B153" s="62" t="s">
        <v>1356</v>
      </c>
      <c r="C153" s="61" t="s">
        <v>44</v>
      </c>
      <c r="D153" s="64"/>
      <c r="E153" s="51" t="s">
        <v>1351</v>
      </c>
      <c r="F153" s="34" t="s">
        <v>289</v>
      </c>
      <c r="G153" s="56">
        <v>45961</v>
      </c>
      <c r="H153" s="57" t="s">
        <v>1305</v>
      </c>
      <c r="I153" s="57" t="s">
        <v>1306</v>
      </c>
      <c r="J153" s="57" t="s">
        <v>1307</v>
      </c>
      <c r="K153" s="57" t="s">
        <v>45</v>
      </c>
      <c r="L153" s="55" t="s">
        <v>46</v>
      </c>
      <c r="M153" s="55" t="s">
        <v>46</v>
      </c>
      <c r="N153" s="59" t="s">
        <v>310</v>
      </c>
      <c r="O153" s="57" t="s">
        <v>47</v>
      </c>
    </row>
    <row r="154" spans="1:15" ht="15.75" thickBot="1">
      <c r="A154" s="51" t="s">
        <v>23</v>
      </c>
      <c r="B154" s="62" t="s">
        <v>1356</v>
      </c>
      <c r="C154" s="61" t="s">
        <v>44</v>
      </c>
      <c r="D154" s="64"/>
      <c r="E154" s="51" t="s">
        <v>1352</v>
      </c>
      <c r="F154" s="34" t="s">
        <v>289</v>
      </c>
      <c r="G154" s="56">
        <v>45961</v>
      </c>
      <c r="H154" s="57" t="s">
        <v>1308</v>
      </c>
      <c r="I154" s="57" t="s">
        <v>1309</v>
      </c>
      <c r="J154" s="57" t="s">
        <v>1310</v>
      </c>
      <c r="K154" s="57" t="s">
        <v>45</v>
      </c>
      <c r="L154" s="55" t="s">
        <v>46</v>
      </c>
      <c r="M154" s="55" t="s">
        <v>46</v>
      </c>
      <c r="N154" s="59" t="s">
        <v>310</v>
      </c>
      <c r="O154" s="57" t="s">
        <v>47</v>
      </c>
    </row>
    <row r="155" spans="1:15" ht="15.75" thickBot="1">
      <c r="A155" s="51" t="s">
        <v>24</v>
      </c>
      <c r="B155" s="62" t="s">
        <v>1356</v>
      </c>
      <c r="C155" s="61" t="s">
        <v>44</v>
      </c>
      <c r="D155" s="64"/>
      <c r="E155" s="51" t="s">
        <v>1350</v>
      </c>
      <c r="F155" s="34" t="s">
        <v>289</v>
      </c>
      <c r="G155" s="56">
        <v>45961</v>
      </c>
      <c r="H155" s="57" t="s">
        <v>1311</v>
      </c>
      <c r="I155" s="57" t="s">
        <v>1312</v>
      </c>
      <c r="J155" s="57" t="s">
        <v>1313</v>
      </c>
      <c r="K155" s="57" t="s">
        <v>45</v>
      </c>
      <c r="L155" s="55" t="s">
        <v>46</v>
      </c>
      <c r="M155" s="55" t="s">
        <v>46</v>
      </c>
      <c r="N155" s="59" t="s">
        <v>310</v>
      </c>
      <c r="O155" s="57" t="s">
        <v>47</v>
      </c>
    </row>
    <row r="156" spans="1:15" ht="15.75" thickBot="1">
      <c r="A156" s="51" t="s">
        <v>25</v>
      </c>
      <c r="B156" s="62" t="s">
        <v>1356</v>
      </c>
      <c r="C156" s="61" t="s">
        <v>44</v>
      </c>
      <c r="D156" s="64"/>
      <c r="E156" s="51" t="s">
        <v>1353</v>
      </c>
      <c r="F156" s="34" t="s">
        <v>289</v>
      </c>
      <c r="G156" s="56">
        <v>45961</v>
      </c>
      <c r="H156" s="57" t="s">
        <v>1314</v>
      </c>
      <c r="I156" s="57" t="s">
        <v>1315</v>
      </c>
      <c r="J156" s="57" t="s">
        <v>1316</v>
      </c>
      <c r="K156" s="57" t="s">
        <v>45</v>
      </c>
      <c r="L156" s="55" t="s">
        <v>46</v>
      </c>
      <c r="M156" s="55" t="s">
        <v>46</v>
      </c>
      <c r="N156" s="59" t="s">
        <v>310</v>
      </c>
      <c r="O156" s="57" t="s">
        <v>47</v>
      </c>
    </row>
    <row r="157" spans="1:15" ht="15.75" thickBot="1">
      <c r="A157" s="51" t="s">
        <v>26</v>
      </c>
      <c r="B157" s="62" t="s">
        <v>1356</v>
      </c>
      <c r="C157" s="61" t="s">
        <v>44</v>
      </c>
      <c r="D157" s="64"/>
      <c r="E157" s="51" t="s">
        <v>1352</v>
      </c>
      <c r="F157" s="34" t="s">
        <v>289</v>
      </c>
      <c r="G157" s="56">
        <v>45966</v>
      </c>
      <c r="H157" s="57" t="s">
        <v>1317</v>
      </c>
      <c r="I157" s="57" t="s">
        <v>1318</v>
      </c>
      <c r="J157" s="57" t="s">
        <v>1319</v>
      </c>
      <c r="K157" s="57" t="s">
        <v>45</v>
      </c>
      <c r="L157" s="55" t="s">
        <v>46</v>
      </c>
      <c r="M157" s="55" t="s">
        <v>46</v>
      </c>
      <c r="N157" s="55" t="s">
        <v>46</v>
      </c>
      <c r="O157" s="57" t="s">
        <v>47</v>
      </c>
    </row>
    <row r="158" spans="1:15" ht="15.75" thickBot="1">
      <c r="A158" s="51" t="s">
        <v>27</v>
      </c>
      <c r="B158" s="62" t="s">
        <v>1356</v>
      </c>
      <c r="C158" s="61" t="s">
        <v>44</v>
      </c>
      <c r="D158" s="64"/>
      <c r="E158" s="51" t="s">
        <v>1343</v>
      </c>
      <c r="F158" s="34" t="s">
        <v>289</v>
      </c>
      <c r="G158" s="56">
        <v>45966</v>
      </c>
      <c r="H158" s="57" t="s">
        <v>1320</v>
      </c>
      <c r="I158" s="57" t="s">
        <v>1321</v>
      </c>
      <c r="J158" s="57" t="s">
        <v>1322</v>
      </c>
      <c r="K158" s="57" t="s">
        <v>45</v>
      </c>
      <c r="L158" s="55" t="s">
        <v>46</v>
      </c>
      <c r="M158" s="55" t="s">
        <v>46</v>
      </c>
      <c r="N158" s="55" t="s">
        <v>46</v>
      </c>
      <c r="O158" s="57" t="s">
        <v>47</v>
      </c>
    </row>
    <row r="159" spans="1:15" ht="15.75" thickBot="1">
      <c r="A159" s="51" t="s">
        <v>28</v>
      </c>
      <c r="B159" s="62" t="s">
        <v>1356</v>
      </c>
      <c r="C159" s="61" t="s">
        <v>44</v>
      </c>
      <c r="D159" s="64"/>
      <c r="E159" s="51" t="s">
        <v>1354</v>
      </c>
      <c r="F159" s="34" t="s">
        <v>289</v>
      </c>
      <c r="G159" s="56">
        <v>45966</v>
      </c>
      <c r="H159" s="57" t="s">
        <v>1323</v>
      </c>
      <c r="I159" s="57" t="s">
        <v>1324</v>
      </c>
      <c r="J159" s="57" t="s">
        <v>1325</v>
      </c>
      <c r="K159" s="57" t="s">
        <v>45</v>
      </c>
      <c r="L159" s="55" t="s">
        <v>46</v>
      </c>
      <c r="M159" s="55" t="s">
        <v>46</v>
      </c>
      <c r="N159" s="59" t="s">
        <v>310</v>
      </c>
      <c r="O159" s="57" t="s">
        <v>47</v>
      </c>
    </row>
    <row r="160" spans="1:15" ht="15.75" thickBot="1">
      <c r="A160" s="51" t="s">
        <v>29</v>
      </c>
      <c r="B160" s="62" t="s">
        <v>1356</v>
      </c>
      <c r="C160" s="61" t="s">
        <v>44</v>
      </c>
      <c r="D160" s="64"/>
      <c r="E160" s="51" t="s">
        <v>1342</v>
      </c>
      <c r="F160" s="34" t="s">
        <v>289</v>
      </c>
      <c r="G160" s="56">
        <v>45966</v>
      </c>
      <c r="H160" s="57" t="s">
        <v>1326</v>
      </c>
      <c r="I160" s="57" t="s">
        <v>1327</v>
      </c>
      <c r="J160" s="57" t="s">
        <v>1328</v>
      </c>
      <c r="K160" s="57" t="s">
        <v>45</v>
      </c>
      <c r="L160" s="55" t="s">
        <v>46</v>
      </c>
      <c r="M160" s="55" t="s">
        <v>46</v>
      </c>
      <c r="N160" s="59" t="s">
        <v>310</v>
      </c>
      <c r="O160" s="57" t="s">
        <v>47</v>
      </c>
    </row>
    <row r="161" spans="1:15" ht="15.75" thickBot="1">
      <c r="A161" s="51" t="s">
        <v>30</v>
      </c>
      <c r="B161" s="62" t="s">
        <v>1356</v>
      </c>
      <c r="C161" s="61" t="s">
        <v>44</v>
      </c>
      <c r="D161" s="64"/>
      <c r="E161" s="51" t="s">
        <v>1353</v>
      </c>
      <c r="F161" s="34" t="s">
        <v>289</v>
      </c>
      <c r="G161" s="56">
        <v>45966</v>
      </c>
      <c r="H161" s="57" t="s">
        <v>1329</v>
      </c>
      <c r="I161" s="57" t="s">
        <v>1330</v>
      </c>
      <c r="J161" s="57" t="s">
        <v>1331</v>
      </c>
      <c r="K161" s="57" t="s">
        <v>45</v>
      </c>
      <c r="L161" s="55" t="s">
        <v>46</v>
      </c>
      <c r="M161" s="55" t="s">
        <v>46</v>
      </c>
      <c r="N161" s="59" t="s">
        <v>310</v>
      </c>
      <c r="O161" s="57" t="s">
        <v>47</v>
      </c>
    </row>
    <row r="162" spans="1:15" ht="15.75" thickBot="1">
      <c r="A162" s="51" t="s">
        <v>31</v>
      </c>
      <c r="B162" s="62" t="s">
        <v>1356</v>
      </c>
      <c r="C162" s="61" t="s">
        <v>44</v>
      </c>
      <c r="D162" s="64"/>
      <c r="E162" s="51" t="s">
        <v>1341</v>
      </c>
      <c r="F162" s="34" t="s">
        <v>289</v>
      </c>
      <c r="G162" s="56">
        <v>45966</v>
      </c>
      <c r="H162" s="57" t="s">
        <v>1332</v>
      </c>
      <c r="I162" s="57" t="s">
        <v>1333</v>
      </c>
      <c r="J162" s="57" t="s">
        <v>1334</v>
      </c>
      <c r="K162" s="57" t="s">
        <v>45</v>
      </c>
      <c r="L162" s="55" t="s">
        <v>46</v>
      </c>
      <c r="M162" s="55" t="s">
        <v>46</v>
      </c>
      <c r="N162" s="59" t="s">
        <v>310</v>
      </c>
      <c r="O162" s="57" t="s">
        <v>47</v>
      </c>
    </row>
    <row r="163" spans="1:15" ht="15.75" thickBot="1">
      <c r="A163" s="51" t="s">
        <v>32</v>
      </c>
      <c r="B163" s="62" t="s">
        <v>1356</v>
      </c>
      <c r="C163" s="61" t="s">
        <v>44</v>
      </c>
      <c r="D163" s="64"/>
      <c r="E163" s="51" t="s">
        <v>1343</v>
      </c>
      <c r="F163" s="34" t="s">
        <v>289</v>
      </c>
      <c r="G163" s="56">
        <v>45966</v>
      </c>
      <c r="H163" s="57" t="s">
        <v>1335</v>
      </c>
      <c r="I163" s="57" t="s">
        <v>1336</v>
      </c>
      <c r="J163" s="57" t="s">
        <v>1337</v>
      </c>
      <c r="K163" s="57" t="s">
        <v>45</v>
      </c>
      <c r="L163" s="55" t="s">
        <v>46</v>
      </c>
      <c r="M163" s="55" t="s">
        <v>46</v>
      </c>
      <c r="N163" s="59" t="s">
        <v>310</v>
      </c>
      <c r="O163" s="57" t="s">
        <v>47</v>
      </c>
    </row>
    <row r="164" spans="1:15" ht="15.75" thickBot="1">
      <c r="A164" s="51" t="s">
        <v>33</v>
      </c>
      <c r="B164" s="62" t="s">
        <v>1356</v>
      </c>
      <c r="C164" s="61" t="s">
        <v>44</v>
      </c>
      <c r="D164" s="64"/>
      <c r="E164" s="51" t="s">
        <v>1355</v>
      </c>
      <c r="F164" s="34" t="s">
        <v>289</v>
      </c>
      <c r="G164" s="56">
        <v>45966</v>
      </c>
      <c r="H164" s="57" t="s">
        <v>1338</v>
      </c>
      <c r="I164" s="57" t="s">
        <v>1339</v>
      </c>
      <c r="J164" s="57" t="s">
        <v>1340</v>
      </c>
      <c r="K164" s="57" t="s">
        <v>45</v>
      </c>
      <c r="L164" s="55" t="s">
        <v>46</v>
      </c>
      <c r="M164" s="55" t="s">
        <v>46</v>
      </c>
      <c r="N164" s="59" t="s">
        <v>310</v>
      </c>
      <c r="O164" s="57" t="s">
        <v>47</v>
      </c>
    </row>
  </sheetData>
  <conditionalFormatting sqref="C2:C47">
    <cfRule type="cellIs" dxfId="6" priority="6" operator="equal">
      <formula>"Yes"</formula>
    </cfRule>
  </conditionalFormatting>
  <conditionalFormatting sqref="F2:F164">
    <cfRule type="cellIs" dxfId="5" priority="1" operator="equal">
      <formula>"Joel"</formula>
    </cfRule>
    <cfRule type="cellIs" dxfId="4" priority="2" operator="equal">
      <formula>"Kai"</formula>
    </cfRule>
    <cfRule type="cellIs" dxfId="3" priority="3" operator="equal">
      <formula>"Shahzaib"</formula>
    </cfRule>
    <cfRule type="cellIs" dxfId="2" priority="4" operator="equal">
      <formula>"Braxton"</formula>
    </cfRule>
    <cfRule type="cellIs" dxfId="1" priority="5" operator="equal">
      <formula>"Lauren"</formula>
    </cfRule>
  </conditionalFormatting>
  <dataValidations count="2">
    <dataValidation type="list" allowBlank="1" showInputMessage="1" showErrorMessage="1" sqref="F2:F164" xr:uid="{FEB9427A-0654-4F44-87FB-91DE510A3545}">
      <formula1>"Lauren, Braxton, Shahzaib, Kai, Joel, Lauren,TBD"</formula1>
    </dataValidation>
    <dataValidation type="list" allowBlank="1" showInputMessage="1" showErrorMessage="1" sqref="C2:C47" xr:uid="{8902E4F1-16AA-44A1-BF23-077F18893315}">
      <formula1>"Yes,No"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F29" sqref="F29"/>
    </sheetView>
  </sheetViews>
  <sheetFormatPr defaultRowHeight="15"/>
  <cols>
    <col min="1" max="1" width="17.28515625" style="3" bestFit="1" customWidth="1"/>
    <col min="2" max="2" width="16.28515625" style="3" customWidth="1"/>
    <col min="3" max="3" width="12.42578125" style="3" bestFit="1" customWidth="1"/>
    <col min="4" max="4" width="36" style="3" bestFit="1" customWidth="1"/>
    <col min="5" max="5" width="24" style="3" bestFit="1" customWidth="1"/>
    <col min="6" max="6" width="34.42578125" style="3" bestFit="1" customWidth="1"/>
  </cols>
  <sheetData>
    <row r="1" spans="1:6">
      <c r="A1" s="4" t="s">
        <v>0</v>
      </c>
      <c r="B1" s="5" t="s">
        <v>1</v>
      </c>
      <c r="C1" s="5" t="s">
        <v>2</v>
      </c>
      <c r="D1" s="5" t="s">
        <v>38</v>
      </c>
      <c r="E1" s="5" t="s">
        <v>37</v>
      </c>
      <c r="F1" s="6" t="s">
        <v>475</v>
      </c>
    </row>
    <row r="2" spans="1:6">
      <c r="A2" s="1" t="s">
        <v>3</v>
      </c>
      <c r="B2" s="2" t="s">
        <v>4</v>
      </c>
      <c r="C2" s="2" t="s">
        <v>5</v>
      </c>
      <c r="D2" s="2">
        <v>18</v>
      </c>
      <c r="E2" s="2">
        <v>11</v>
      </c>
      <c r="F2" s="26"/>
    </row>
    <row r="3" spans="1:6">
      <c r="A3" s="1" t="s">
        <v>6</v>
      </c>
      <c r="B3" s="2" t="s">
        <v>4</v>
      </c>
      <c r="C3" s="2" t="s">
        <v>5</v>
      </c>
      <c r="D3" s="2">
        <v>24</v>
      </c>
      <c r="E3" s="2">
        <v>11</v>
      </c>
      <c r="F3" s="2"/>
    </row>
    <row r="4" spans="1:6">
      <c r="A4" s="1" t="s">
        <v>7</v>
      </c>
      <c r="B4" s="2" t="s">
        <v>4</v>
      </c>
      <c r="C4" s="2" t="s">
        <v>8</v>
      </c>
      <c r="D4" s="2">
        <v>0</v>
      </c>
      <c r="E4" s="2">
        <v>17</v>
      </c>
      <c r="F4" s="2"/>
    </row>
    <row r="5" spans="1:6">
      <c r="A5" s="1" t="s">
        <v>9</v>
      </c>
      <c r="B5" s="2" t="s">
        <v>4</v>
      </c>
      <c r="C5" s="2" t="s">
        <v>5</v>
      </c>
      <c r="D5" s="2">
        <v>0</v>
      </c>
      <c r="E5" s="2">
        <v>12</v>
      </c>
      <c r="F5" s="2"/>
    </row>
    <row r="6" spans="1:6">
      <c r="A6" s="1" t="s">
        <v>10</v>
      </c>
      <c r="B6" s="2" t="s">
        <v>4</v>
      </c>
      <c r="C6" s="2" t="s">
        <v>5</v>
      </c>
      <c r="D6" s="2">
        <v>5</v>
      </c>
      <c r="E6" s="2">
        <v>9</v>
      </c>
      <c r="F6" s="2"/>
    </row>
    <row r="7" spans="1:6">
      <c r="A7" s="1" t="s">
        <v>11</v>
      </c>
      <c r="B7" s="2" t="s">
        <v>4</v>
      </c>
      <c r="C7" s="2" t="s">
        <v>8</v>
      </c>
      <c r="D7" s="2">
        <v>0</v>
      </c>
      <c r="E7" s="2">
        <v>18</v>
      </c>
      <c r="F7" s="2"/>
    </row>
    <row r="8" spans="1:6">
      <c r="A8" s="1" t="s">
        <v>12</v>
      </c>
      <c r="B8" s="2" t="s">
        <v>4</v>
      </c>
      <c r="C8" s="2" t="s">
        <v>8</v>
      </c>
      <c r="D8" s="2">
        <v>0</v>
      </c>
      <c r="E8" s="2">
        <v>18</v>
      </c>
      <c r="F8" s="2"/>
    </row>
    <row r="9" spans="1:6">
      <c r="A9" s="1" t="s">
        <v>13</v>
      </c>
      <c r="B9" s="2" t="s">
        <v>4</v>
      </c>
      <c r="C9" s="2" t="s">
        <v>8</v>
      </c>
      <c r="D9" s="2">
        <v>0</v>
      </c>
      <c r="E9" s="2">
        <v>19</v>
      </c>
      <c r="F9" s="2"/>
    </row>
    <row r="10" spans="1:6">
      <c r="A10" s="1" t="s">
        <v>14</v>
      </c>
      <c r="B10" s="2" t="s">
        <v>4</v>
      </c>
      <c r="C10" s="2" t="s">
        <v>5</v>
      </c>
      <c r="D10" s="2">
        <v>29</v>
      </c>
      <c r="E10" s="2">
        <v>9</v>
      </c>
      <c r="F10" s="2"/>
    </row>
    <row r="11" spans="1:6">
      <c r="A11" s="1" t="s">
        <v>15</v>
      </c>
      <c r="B11" s="2" t="s">
        <v>4</v>
      </c>
      <c r="C11" s="2" t="s">
        <v>8</v>
      </c>
      <c r="D11" s="2">
        <v>0</v>
      </c>
      <c r="E11" s="2">
        <v>18</v>
      </c>
      <c r="F11" s="2"/>
    </row>
    <row r="12" spans="1:6">
      <c r="A12" s="1" t="s">
        <v>16</v>
      </c>
      <c r="B12" s="2" t="s">
        <v>4</v>
      </c>
      <c r="C12" s="2" t="s">
        <v>8</v>
      </c>
      <c r="D12" s="2">
        <v>0</v>
      </c>
      <c r="E12" s="2">
        <v>11</v>
      </c>
      <c r="F12" s="2" t="s">
        <v>474</v>
      </c>
    </row>
    <row r="13" spans="1:6">
      <c r="A13" s="1" t="s">
        <v>17</v>
      </c>
      <c r="B13" s="2" t="s">
        <v>4</v>
      </c>
      <c r="C13" s="2" t="s">
        <v>5</v>
      </c>
      <c r="D13" s="2">
        <v>0</v>
      </c>
      <c r="E13" s="2">
        <v>13</v>
      </c>
      <c r="F13" s="2" t="s">
        <v>476</v>
      </c>
    </row>
    <row r="14" spans="1:6">
      <c r="A14" s="1" t="s">
        <v>18</v>
      </c>
      <c r="B14" s="2" t="s">
        <v>4</v>
      </c>
      <c r="C14" s="2" t="s">
        <v>8</v>
      </c>
      <c r="D14" s="2">
        <v>0</v>
      </c>
      <c r="E14" s="2">
        <v>11</v>
      </c>
      <c r="F14" s="2"/>
    </row>
    <row r="15" spans="1:6">
      <c r="A15" s="1" t="s">
        <v>19</v>
      </c>
      <c r="B15" s="2" t="s">
        <v>4</v>
      </c>
      <c r="C15" s="2" t="s">
        <v>5</v>
      </c>
      <c r="D15" s="2">
        <v>0</v>
      </c>
      <c r="E15" s="2">
        <v>16</v>
      </c>
      <c r="F15" s="2"/>
    </row>
    <row r="16" spans="1:6">
      <c r="A16" s="1" t="s">
        <v>20</v>
      </c>
      <c r="B16" s="2" t="s">
        <v>21</v>
      </c>
      <c r="C16" s="2" t="s">
        <v>5</v>
      </c>
      <c r="D16" s="2">
        <v>0</v>
      </c>
      <c r="E16" s="2">
        <v>7</v>
      </c>
      <c r="F16" s="2"/>
    </row>
    <row r="17" spans="1:6">
      <c r="A17" s="1" t="s">
        <v>22</v>
      </c>
      <c r="B17" s="2" t="s">
        <v>21</v>
      </c>
      <c r="C17" s="2" t="s">
        <v>5</v>
      </c>
      <c r="D17" s="2">
        <v>0</v>
      </c>
      <c r="E17" s="2">
        <v>8</v>
      </c>
      <c r="F17" s="2" t="s">
        <v>477</v>
      </c>
    </row>
    <row r="18" spans="1:6">
      <c r="A18" s="1" t="s">
        <v>23</v>
      </c>
      <c r="B18" s="2" t="s">
        <v>21</v>
      </c>
      <c r="C18" s="2" t="s">
        <v>5</v>
      </c>
      <c r="D18" s="2">
        <v>0</v>
      </c>
      <c r="E18" s="2">
        <v>10</v>
      </c>
      <c r="F18" s="2"/>
    </row>
    <row r="19" spans="1:6">
      <c r="A19" s="1" t="s">
        <v>24</v>
      </c>
      <c r="B19" s="2" t="s">
        <v>21</v>
      </c>
      <c r="C19" s="2" t="s">
        <v>8</v>
      </c>
      <c r="D19" s="2">
        <v>0</v>
      </c>
      <c r="E19" s="2">
        <v>7</v>
      </c>
      <c r="F19" s="2"/>
    </row>
    <row r="20" spans="1:6">
      <c r="A20" s="1" t="s">
        <v>25</v>
      </c>
      <c r="B20" s="2" t="s">
        <v>21</v>
      </c>
      <c r="C20" s="2" t="s">
        <v>8</v>
      </c>
      <c r="D20" s="2">
        <v>0</v>
      </c>
      <c r="E20" s="2">
        <v>5</v>
      </c>
      <c r="F20" s="2"/>
    </row>
    <row r="21" spans="1:6">
      <c r="A21" s="1" t="s">
        <v>26</v>
      </c>
      <c r="B21" s="2" t="s">
        <v>21</v>
      </c>
      <c r="C21" s="2" t="s">
        <v>5</v>
      </c>
      <c r="D21" s="2">
        <v>0</v>
      </c>
      <c r="E21" s="2">
        <v>10</v>
      </c>
      <c r="F21" s="2"/>
    </row>
    <row r="22" spans="1:6">
      <c r="A22" s="1" t="s">
        <v>27</v>
      </c>
      <c r="B22" s="2" t="s">
        <v>21</v>
      </c>
      <c r="C22" s="2" t="s">
        <v>5</v>
      </c>
      <c r="D22" s="2">
        <v>0</v>
      </c>
      <c r="E22" s="2">
        <v>12</v>
      </c>
      <c r="F22" s="2"/>
    </row>
    <row r="23" spans="1:6">
      <c r="A23" s="1" t="s">
        <v>28</v>
      </c>
      <c r="B23" s="2" t="s">
        <v>21</v>
      </c>
      <c r="C23" s="2" t="s">
        <v>8</v>
      </c>
      <c r="D23" s="2">
        <v>0</v>
      </c>
      <c r="E23" s="2">
        <v>15</v>
      </c>
      <c r="F23" s="2"/>
    </row>
    <row r="24" spans="1:6">
      <c r="A24" s="1" t="s">
        <v>29</v>
      </c>
      <c r="B24" s="2" t="s">
        <v>21</v>
      </c>
      <c r="C24" s="2" t="s">
        <v>8</v>
      </c>
      <c r="D24" s="2">
        <v>0</v>
      </c>
      <c r="E24" s="2">
        <v>17</v>
      </c>
      <c r="F24" s="2"/>
    </row>
    <row r="25" spans="1:6">
      <c r="A25" s="1" t="s">
        <v>30</v>
      </c>
      <c r="B25" s="2" t="s">
        <v>21</v>
      </c>
      <c r="C25" s="2" t="s">
        <v>8</v>
      </c>
      <c r="D25" s="2">
        <v>0</v>
      </c>
      <c r="E25" s="2">
        <v>5</v>
      </c>
      <c r="F25" s="2"/>
    </row>
    <row r="26" spans="1:6">
      <c r="A26" s="1" t="s">
        <v>31</v>
      </c>
      <c r="B26" s="2" t="s">
        <v>21</v>
      </c>
      <c r="C26" s="2" t="s">
        <v>5</v>
      </c>
      <c r="D26" s="2">
        <v>5</v>
      </c>
      <c r="E26" s="2">
        <v>11</v>
      </c>
      <c r="F26" s="2"/>
    </row>
    <row r="27" spans="1:6">
      <c r="A27" s="1" t="s">
        <v>32</v>
      </c>
      <c r="B27" s="2" t="s">
        <v>21</v>
      </c>
      <c r="C27" s="2" t="s">
        <v>8</v>
      </c>
      <c r="D27" s="2">
        <v>35</v>
      </c>
      <c r="E27" s="2">
        <v>12</v>
      </c>
      <c r="F27" s="2"/>
    </row>
    <row r="28" spans="1:6">
      <c r="A28" s="1" t="s">
        <v>33</v>
      </c>
      <c r="B28" s="2" t="s">
        <v>21</v>
      </c>
      <c r="C28" s="2" t="s">
        <v>5</v>
      </c>
      <c r="D28" s="2">
        <v>0</v>
      </c>
      <c r="E28" s="2">
        <v>11</v>
      </c>
      <c r="F28" s="16" t="s">
        <v>478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3361-9A46-4344-93C0-2EC86C6155F6}">
  <dimension ref="A1:S327"/>
  <sheetViews>
    <sheetView zoomScale="70" zoomScaleNormal="70" workbookViewId="0">
      <pane xSplit="4" ySplit="1" topLeftCell="E285" activePane="bottomRight" state="frozen"/>
      <selection pane="topRight" activeCell="E1" sqref="E1"/>
      <selection pane="bottomLeft" activeCell="A2" sqref="A2"/>
      <selection pane="bottomRight" activeCell="K333" sqref="K333"/>
    </sheetView>
  </sheetViews>
  <sheetFormatPr defaultRowHeight="15"/>
  <cols>
    <col min="1" max="1" width="19.7109375" bestFit="1" customWidth="1"/>
    <col min="2" max="2" width="24.5703125" bestFit="1" customWidth="1"/>
    <col min="3" max="3" width="15" bestFit="1" customWidth="1"/>
    <col min="4" max="4" width="26.7109375" bestFit="1" customWidth="1"/>
    <col min="5" max="5" width="23.85546875" bestFit="1" customWidth="1"/>
    <col min="6" max="6" width="25" style="3" bestFit="1" customWidth="1"/>
    <col min="7" max="7" width="30" style="3" bestFit="1" customWidth="1"/>
    <col min="8" max="8" width="31" bestFit="1" customWidth="1"/>
    <col min="9" max="9" width="41.7109375" style="3" bestFit="1" customWidth="1"/>
    <col min="10" max="10" width="31" style="3" bestFit="1" customWidth="1"/>
    <col min="11" max="11" width="19.28515625" style="3" bestFit="1" customWidth="1"/>
    <col min="12" max="12" width="25" style="3" bestFit="1" customWidth="1"/>
    <col min="13" max="13" width="20.28515625" style="3" bestFit="1" customWidth="1"/>
    <col min="14" max="14" width="26" style="3" customWidth="1"/>
    <col min="15" max="15" width="19.140625" style="3" bestFit="1" customWidth="1"/>
    <col min="16" max="16" width="24.85546875" bestFit="1" customWidth="1"/>
    <col min="17" max="17" width="29.140625" style="3" bestFit="1" customWidth="1"/>
    <col min="18" max="18" width="26.85546875" bestFit="1" customWidth="1"/>
    <col min="19" max="19" width="30.28515625" style="3" bestFit="1" customWidth="1"/>
    <col min="21" max="21" width="23.140625" customWidth="1"/>
    <col min="25" max="25" width="31.42578125" bestFit="1" customWidth="1"/>
    <col min="26" max="27" width="9.28515625" customWidth="1"/>
  </cols>
  <sheetData>
    <row r="1" spans="1:19">
      <c r="A1" s="4" t="s">
        <v>0</v>
      </c>
      <c r="B1" s="5" t="s">
        <v>1</v>
      </c>
      <c r="C1" s="5" t="s">
        <v>2</v>
      </c>
      <c r="D1" s="5" t="s">
        <v>274</v>
      </c>
      <c r="E1" s="5" t="s">
        <v>34</v>
      </c>
      <c r="F1" s="6" t="s">
        <v>35</v>
      </c>
      <c r="G1" s="6" t="s">
        <v>36</v>
      </c>
      <c r="H1" s="6" t="s">
        <v>276</v>
      </c>
      <c r="I1" s="6" t="s">
        <v>275</v>
      </c>
      <c r="J1" s="6" t="s">
        <v>285</v>
      </c>
      <c r="K1" s="6" t="s">
        <v>277</v>
      </c>
      <c r="L1" s="6" t="s">
        <v>278</v>
      </c>
      <c r="M1" s="6" t="s">
        <v>279</v>
      </c>
      <c r="N1" s="6" t="s">
        <v>280</v>
      </c>
      <c r="O1" s="6" t="s">
        <v>281</v>
      </c>
      <c r="P1" s="6" t="s">
        <v>282</v>
      </c>
      <c r="Q1" s="6" t="s">
        <v>283</v>
      </c>
      <c r="R1" s="6" t="s">
        <v>284</v>
      </c>
      <c r="S1" s="6" t="s">
        <v>286</v>
      </c>
    </row>
    <row r="2" spans="1:19">
      <c r="A2" s="19" t="s">
        <v>3</v>
      </c>
      <c r="B2" s="20" t="s">
        <v>4</v>
      </c>
      <c r="C2" s="20" t="s">
        <v>5</v>
      </c>
      <c r="D2" s="20">
        <v>1</v>
      </c>
      <c r="E2" s="20">
        <v>3840</v>
      </c>
      <c r="F2" s="20">
        <v>2160</v>
      </c>
      <c r="G2" s="20">
        <v>418</v>
      </c>
      <c r="H2" s="20">
        <v>1</v>
      </c>
      <c r="I2" s="20">
        <f>Table14[[#This Row],[width_scalebar_mm]]/Table14[[#This Row],[width_scalebar_px]]</f>
        <v>2.3923444976076554E-3</v>
      </c>
      <c r="J2" s="20">
        <v>4</v>
      </c>
      <c r="K2" s="20">
        <v>480957</v>
      </c>
      <c r="L2" s="20">
        <v>2488</v>
      </c>
      <c r="M2" s="20">
        <v>81274</v>
      </c>
      <c r="N2" s="20">
        <v>1027</v>
      </c>
      <c r="O2" s="20" t="s">
        <v>287</v>
      </c>
      <c r="P2" s="20" t="s">
        <v>287</v>
      </c>
      <c r="Q2" s="20"/>
      <c r="R2" s="20" t="s">
        <v>287</v>
      </c>
      <c r="S2" s="20" t="s">
        <v>287</v>
      </c>
    </row>
    <row r="3" spans="1:19">
      <c r="A3" s="19" t="s">
        <v>3</v>
      </c>
      <c r="B3" s="20" t="s">
        <v>4</v>
      </c>
      <c r="C3" s="20" t="s">
        <v>5</v>
      </c>
      <c r="D3" s="20">
        <v>2</v>
      </c>
      <c r="E3" s="20">
        <v>3840</v>
      </c>
      <c r="F3" s="20">
        <v>2160</v>
      </c>
      <c r="G3" s="20">
        <v>252</v>
      </c>
      <c r="H3" s="20">
        <v>0.5</v>
      </c>
      <c r="I3" s="20">
        <f>Table14[[#This Row],[width_scalebar_mm]]/Table14[[#This Row],[width_scalebar_px]]</f>
        <v>1.984126984126984E-3</v>
      </c>
      <c r="J3" s="20">
        <v>4</v>
      </c>
      <c r="K3" s="20">
        <v>536721</v>
      </c>
      <c r="L3" s="20">
        <v>2841</v>
      </c>
      <c r="M3" s="20">
        <v>117257</v>
      </c>
      <c r="N3" s="20">
        <v>1288</v>
      </c>
      <c r="O3" s="20" t="s">
        <v>287</v>
      </c>
      <c r="P3" s="20" t="s">
        <v>287</v>
      </c>
      <c r="Q3" s="20"/>
      <c r="R3" s="20" t="s">
        <v>287</v>
      </c>
      <c r="S3" s="20" t="s">
        <v>287</v>
      </c>
    </row>
    <row r="4" spans="1:19">
      <c r="A4" s="19" t="s">
        <v>3</v>
      </c>
      <c r="B4" s="20" t="s">
        <v>4</v>
      </c>
      <c r="C4" s="20" t="s">
        <v>5</v>
      </c>
      <c r="D4" s="20">
        <v>3</v>
      </c>
      <c r="E4" s="20">
        <v>3840</v>
      </c>
      <c r="F4" s="20">
        <v>2160</v>
      </c>
      <c r="G4" s="20">
        <v>455</v>
      </c>
      <c r="H4" s="20">
        <v>1</v>
      </c>
      <c r="I4" s="20">
        <f>Table14[[#This Row],[width_scalebar_mm]]/Table14[[#This Row],[width_scalebar_px]]</f>
        <v>2.1978021978021978E-3</v>
      </c>
      <c r="J4" s="20">
        <v>4</v>
      </c>
      <c r="K4" s="20">
        <v>567945</v>
      </c>
      <c r="L4" s="20">
        <v>2708</v>
      </c>
      <c r="M4" s="20">
        <v>108622</v>
      </c>
      <c r="N4" s="20">
        <v>1179</v>
      </c>
      <c r="O4" s="20">
        <v>21390</v>
      </c>
      <c r="P4" s="20">
        <v>624</v>
      </c>
      <c r="Q4" s="20"/>
      <c r="R4" s="20" t="s">
        <v>287</v>
      </c>
      <c r="S4" s="20" t="s">
        <v>287</v>
      </c>
    </row>
    <row r="5" spans="1:19">
      <c r="A5" s="19" t="s">
        <v>3</v>
      </c>
      <c r="B5" s="20" t="s">
        <v>4</v>
      </c>
      <c r="C5" s="20" t="s">
        <v>5</v>
      </c>
      <c r="D5" s="20">
        <v>4</v>
      </c>
      <c r="E5" s="20">
        <v>3840</v>
      </c>
      <c r="F5" s="20">
        <v>2160</v>
      </c>
      <c r="G5" s="20">
        <v>304</v>
      </c>
      <c r="H5" s="20">
        <v>0.5</v>
      </c>
      <c r="I5" s="20">
        <f>Table14[[#This Row],[width_scalebar_mm]]/Table14[[#This Row],[width_scalebar_px]]</f>
        <v>1.6447368421052631E-3</v>
      </c>
      <c r="J5" s="20">
        <v>4</v>
      </c>
      <c r="K5" s="20">
        <v>1061079</v>
      </c>
      <c r="L5" s="20">
        <v>3781</v>
      </c>
      <c r="M5" s="20">
        <v>226392</v>
      </c>
      <c r="N5" s="20">
        <v>1714</v>
      </c>
      <c r="O5" s="20">
        <v>38464</v>
      </c>
      <c r="P5" s="20">
        <v>845</v>
      </c>
      <c r="Q5" s="20"/>
      <c r="R5" s="20" t="s">
        <v>287</v>
      </c>
      <c r="S5" s="20">
        <v>16</v>
      </c>
    </row>
    <row r="6" spans="1:19">
      <c r="A6" s="19" t="s">
        <v>3</v>
      </c>
      <c r="B6" s="20" t="s">
        <v>4</v>
      </c>
      <c r="C6" s="20" t="s">
        <v>5</v>
      </c>
      <c r="D6" s="20">
        <v>5</v>
      </c>
      <c r="E6" s="20">
        <v>3840</v>
      </c>
      <c r="F6" s="20">
        <v>2160</v>
      </c>
      <c r="G6" s="20">
        <v>267</v>
      </c>
      <c r="H6" s="20">
        <v>0.5</v>
      </c>
      <c r="I6" s="20">
        <f>Table14[[#This Row],[width_scalebar_mm]]/Table14[[#This Row],[width_scalebar_px]]</f>
        <v>1.8726591760299626E-3</v>
      </c>
      <c r="J6" s="20">
        <v>4</v>
      </c>
      <c r="K6" s="20">
        <v>779112</v>
      </c>
      <c r="L6" s="20">
        <v>3170</v>
      </c>
      <c r="M6" s="20">
        <v>170593</v>
      </c>
      <c r="N6" s="20">
        <v>1483</v>
      </c>
      <c r="O6" s="20">
        <v>29929</v>
      </c>
      <c r="P6" s="20">
        <v>786</v>
      </c>
      <c r="Q6" s="20"/>
      <c r="R6" s="20">
        <v>20977</v>
      </c>
      <c r="S6" s="20">
        <v>16</v>
      </c>
    </row>
    <row r="7" spans="1:19">
      <c r="A7" s="19" t="s">
        <v>3</v>
      </c>
      <c r="B7" s="20" t="s">
        <v>4</v>
      </c>
      <c r="C7" s="20" t="s">
        <v>5</v>
      </c>
      <c r="D7" s="20">
        <v>6</v>
      </c>
      <c r="E7" s="20">
        <v>3840</v>
      </c>
      <c r="F7" s="20">
        <v>2160</v>
      </c>
      <c r="G7" s="20">
        <v>261</v>
      </c>
      <c r="H7" s="20">
        <v>0.5</v>
      </c>
      <c r="I7" s="20">
        <f>Table14[[#This Row],[width_scalebar_mm]]/Table14[[#This Row],[width_scalebar_px]]</f>
        <v>1.9157088122605363E-3</v>
      </c>
      <c r="J7" s="20">
        <v>3</v>
      </c>
      <c r="K7" s="20">
        <v>869016</v>
      </c>
      <c r="L7" s="20">
        <v>3334</v>
      </c>
      <c r="M7" s="20">
        <v>188351</v>
      </c>
      <c r="N7" s="20">
        <v>1557</v>
      </c>
      <c r="O7" s="20">
        <v>36122</v>
      </c>
      <c r="P7" s="20">
        <v>915</v>
      </c>
      <c r="Q7" s="20"/>
      <c r="R7" s="20"/>
      <c r="S7" s="20">
        <v>16</v>
      </c>
    </row>
    <row r="8" spans="1:19">
      <c r="A8" s="19" t="s">
        <v>3</v>
      </c>
      <c r="B8" s="20" t="s">
        <v>4</v>
      </c>
      <c r="C8" s="20" t="s">
        <v>5</v>
      </c>
      <c r="D8" s="20">
        <v>7</v>
      </c>
      <c r="E8" s="20">
        <v>3840</v>
      </c>
      <c r="F8" s="20">
        <v>2160</v>
      </c>
      <c r="G8" s="20">
        <v>263</v>
      </c>
      <c r="H8" s="20">
        <v>0.5</v>
      </c>
      <c r="I8" s="20">
        <f>Table14[[#This Row],[width_scalebar_mm]]/Table14[[#This Row],[width_scalebar_px]]</f>
        <v>1.9011406844106464E-3</v>
      </c>
      <c r="J8" s="20">
        <v>2</v>
      </c>
      <c r="K8" s="20">
        <v>861570</v>
      </c>
      <c r="L8" s="20">
        <v>3321</v>
      </c>
      <c r="M8" s="20">
        <v>208943</v>
      </c>
      <c r="N8" s="20">
        <v>1635</v>
      </c>
      <c r="O8" s="20">
        <v>49575</v>
      </c>
      <c r="P8" s="20">
        <v>1016</v>
      </c>
      <c r="Q8" s="20"/>
      <c r="R8" s="20"/>
      <c r="S8" s="20">
        <v>16</v>
      </c>
    </row>
    <row r="9" spans="1:19">
      <c r="A9" s="19" t="s">
        <v>3</v>
      </c>
      <c r="B9" s="20" t="s">
        <v>4</v>
      </c>
      <c r="C9" s="20" t="s">
        <v>5</v>
      </c>
      <c r="D9" s="20">
        <v>8</v>
      </c>
      <c r="E9" s="20">
        <v>3840</v>
      </c>
      <c r="F9" s="20">
        <v>2160</v>
      </c>
      <c r="G9" s="20">
        <v>304</v>
      </c>
      <c r="H9" s="20">
        <v>0.5</v>
      </c>
      <c r="I9" s="20">
        <f>Table14[[#This Row],[width_scalebar_mm]]/Table14[[#This Row],[width_scalebar_px]]</f>
        <v>1.6447368421052631E-3</v>
      </c>
      <c r="J9" s="20">
        <v>2</v>
      </c>
      <c r="K9" s="20">
        <v>1192629</v>
      </c>
      <c r="L9" s="20">
        <v>3894</v>
      </c>
      <c r="M9" s="20">
        <v>340394</v>
      </c>
      <c r="N9" s="20">
        <v>2083</v>
      </c>
      <c r="O9" s="20">
        <v>88993</v>
      </c>
      <c r="P9" s="20">
        <v>1571</v>
      </c>
      <c r="Q9" s="20"/>
      <c r="R9" s="20"/>
      <c r="S9" s="20">
        <v>17</v>
      </c>
    </row>
    <row r="10" spans="1:19">
      <c r="A10" s="19" t="s">
        <v>3</v>
      </c>
      <c r="B10" s="20" t="s">
        <v>4</v>
      </c>
      <c r="C10" s="20" t="s">
        <v>5</v>
      </c>
      <c r="D10" s="20">
        <v>9</v>
      </c>
      <c r="E10" s="20">
        <v>3840</v>
      </c>
      <c r="F10" s="20">
        <v>2160</v>
      </c>
      <c r="G10" s="20">
        <v>297</v>
      </c>
      <c r="H10" s="20">
        <v>0.5</v>
      </c>
      <c r="I10" s="20">
        <f>Table14[[#This Row],[width_scalebar_mm]]/Table14[[#This Row],[width_scalebar_px]]</f>
        <v>1.6835016835016834E-3</v>
      </c>
      <c r="J10" s="20">
        <v>2</v>
      </c>
      <c r="K10" s="20">
        <v>1314879</v>
      </c>
      <c r="L10" s="20">
        <v>4096</v>
      </c>
      <c r="M10" s="20">
        <v>391751</v>
      </c>
      <c r="N10" s="20">
        <v>2232</v>
      </c>
      <c r="O10" s="20">
        <v>116499</v>
      </c>
      <c r="P10" s="20">
        <v>1773</v>
      </c>
      <c r="Q10" s="20"/>
      <c r="R10" s="20"/>
      <c r="S10" s="20">
        <v>17</v>
      </c>
    </row>
    <row r="11" spans="1:19">
      <c r="A11" s="19" t="s">
        <v>3</v>
      </c>
      <c r="B11" s="20" t="s">
        <v>4</v>
      </c>
      <c r="C11" s="20" t="s">
        <v>5</v>
      </c>
      <c r="D11" s="20">
        <v>10</v>
      </c>
      <c r="E11" s="20">
        <v>3840</v>
      </c>
      <c r="F11" s="20">
        <v>2160</v>
      </c>
      <c r="G11" s="20">
        <v>282</v>
      </c>
      <c r="H11" s="20">
        <v>0.5</v>
      </c>
      <c r="I11" s="20">
        <f>Table14[[#This Row],[width_scalebar_mm]]/Table14[[#This Row],[width_scalebar_px]]</f>
        <v>1.7730496453900709E-3</v>
      </c>
      <c r="J11" s="20">
        <v>2</v>
      </c>
      <c r="K11" s="20">
        <v>1460439</v>
      </c>
      <c r="L11" s="20">
        <v>4312</v>
      </c>
      <c r="M11" s="20">
        <v>462384</v>
      </c>
      <c r="N11" s="20">
        <v>2428</v>
      </c>
      <c r="O11" s="20">
        <v>167883</v>
      </c>
      <c r="P11" s="20">
        <v>2094</v>
      </c>
      <c r="Q11" s="20"/>
      <c r="R11" s="20"/>
      <c r="S11" s="20">
        <v>18</v>
      </c>
    </row>
    <row r="12" spans="1:19">
      <c r="A12" s="19" t="s">
        <v>3</v>
      </c>
      <c r="B12" s="20" t="s">
        <v>4</v>
      </c>
      <c r="C12" s="20" t="s">
        <v>5</v>
      </c>
      <c r="D12" s="20">
        <v>11</v>
      </c>
      <c r="E12" s="20">
        <v>3840</v>
      </c>
      <c r="F12" s="20">
        <v>2160</v>
      </c>
      <c r="G12" s="20">
        <v>300</v>
      </c>
      <c r="H12" s="20">
        <v>0.5</v>
      </c>
      <c r="I12" s="20">
        <f>Table14[[#This Row],[width_scalebar_mm]]/Table14[[#This Row],[width_scalebar_px]]</f>
        <v>1.6666666666666668E-3</v>
      </c>
      <c r="J12" s="20">
        <v>4</v>
      </c>
      <c r="K12" s="20">
        <v>2061759</v>
      </c>
      <c r="L12" s="20">
        <v>5119</v>
      </c>
      <c r="M12" s="20">
        <v>735111</v>
      </c>
      <c r="N12" s="20">
        <v>3059</v>
      </c>
      <c r="O12" s="20">
        <v>319304</v>
      </c>
      <c r="P12" s="20">
        <v>3044</v>
      </c>
      <c r="Q12" s="20"/>
      <c r="R12" s="20">
        <v>47898</v>
      </c>
      <c r="S12" s="20">
        <v>21</v>
      </c>
    </row>
    <row r="13" spans="1:19">
      <c r="A13" s="27" t="s">
        <v>6</v>
      </c>
      <c r="B13" s="28" t="s">
        <v>4</v>
      </c>
      <c r="C13" s="28" t="s">
        <v>5</v>
      </c>
      <c r="D13" s="28">
        <v>1</v>
      </c>
      <c r="E13" s="28">
        <v>3840</v>
      </c>
      <c r="F13" s="28">
        <v>2160</v>
      </c>
      <c r="G13" s="28">
        <v>444</v>
      </c>
      <c r="H13" s="28">
        <v>1</v>
      </c>
      <c r="I13" s="28">
        <f>Table14[[#This Row],[width_scalebar_mm]]/Table14[[#This Row],[width_scalebar_px]]</f>
        <v>2.2522522522522522E-3</v>
      </c>
      <c r="J13" s="28">
        <v>4</v>
      </c>
      <c r="K13" s="28">
        <v>552537</v>
      </c>
      <c r="L13" s="28">
        <v>2691</v>
      </c>
      <c r="M13" s="28">
        <v>90285</v>
      </c>
      <c r="N13" s="28">
        <v>1082</v>
      </c>
      <c r="O13" s="28" t="s">
        <v>287</v>
      </c>
      <c r="P13" s="28" t="s">
        <v>287</v>
      </c>
      <c r="Q13" s="28"/>
      <c r="R13" s="28"/>
      <c r="S13" s="28" t="s">
        <v>287</v>
      </c>
    </row>
    <row r="14" spans="1:19">
      <c r="A14" s="27" t="s">
        <v>6</v>
      </c>
      <c r="B14" s="28" t="s">
        <v>4</v>
      </c>
      <c r="C14" s="28" t="s">
        <v>5</v>
      </c>
      <c r="D14" s="28">
        <v>2</v>
      </c>
      <c r="E14" s="28">
        <v>3840</v>
      </c>
      <c r="F14" s="28">
        <v>2160</v>
      </c>
      <c r="G14" s="28">
        <v>247</v>
      </c>
      <c r="H14" s="28">
        <v>0.5</v>
      </c>
      <c r="I14" s="28">
        <f>Table14[[#This Row],[width_scalebar_mm]]/Table14[[#This Row],[width_scalebar_px]]</f>
        <v>2.0242914979757085E-3</v>
      </c>
      <c r="J14" s="28">
        <v>2</v>
      </c>
      <c r="K14" s="28">
        <v>513819</v>
      </c>
      <c r="L14" s="28">
        <v>2560</v>
      </c>
      <c r="M14" s="28">
        <v>108475</v>
      </c>
      <c r="N14" s="28">
        <v>1180</v>
      </c>
      <c r="O14" s="28">
        <v>15491</v>
      </c>
      <c r="P14" s="28">
        <v>751</v>
      </c>
      <c r="Q14" s="28"/>
      <c r="R14" s="28"/>
      <c r="S14" s="28">
        <v>14</v>
      </c>
    </row>
    <row r="15" spans="1:19">
      <c r="A15" s="27" t="s">
        <v>6</v>
      </c>
      <c r="B15" s="28" t="s">
        <v>4</v>
      </c>
      <c r="C15" s="28" t="s">
        <v>5</v>
      </c>
      <c r="D15" s="28">
        <v>3</v>
      </c>
      <c r="E15" s="28">
        <v>3840</v>
      </c>
      <c r="F15" s="28">
        <v>2160</v>
      </c>
      <c r="G15" s="28">
        <v>256</v>
      </c>
      <c r="H15" s="28">
        <v>0.5</v>
      </c>
      <c r="I15" s="28">
        <f>Table14[[#This Row],[width_scalebar_mm]]/Table14[[#This Row],[width_scalebar_px]]</f>
        <v>1.953125E-3</v>
      </c>
      <c r="J15" s="28">
        <v>3</v>
      </c>
      <c r="K15" s="28">
        <v>530887</v>
      </c>
      <c r="L15" s="28">
        <v>2599</v>
      </c>
      <c r="M15" s="28">
        <v>117118</v>
      </c>
      <c r="N15" s="28">
        <v>1228</v>
      </c>
      <c r="O15" s="28">
        <v>18044</v>
      </c>
      <c r="P15" s="28">
        <v>718</v>
      </c>
      <c r="Q15" s="28"/>
      <c r="R15" s="28"/>
      <c r="S15" s="28">
        <v>14</v>
      </c>
    </row>
    <row r="16" spans="1:19">
      <c r="A16" s="27" t="s">
        <v>6</v>
      </c>
      <c r="B16" s="28" t="s">
        <v>4</v>
      </c>
      <c r="C16" s="28" t="s">
        <v>5</v>
      </c>
      <c r="D16" s="28">
        <v>4</v>
      </c>
      <c r="E16" s="28">
        <v>3840</v>
      </c>
      <c r="F16" s="28">
        <v>2160</v>
      </c>
      <c r="G16" s="28">
        <v>257</v>
      </c>
      <c r="H16" s="28">
        <v>0.5</v>
      </c>
      <c r="I16" s="28">
        <f>Table14[[#This Row],[width_scalebar_mm]]/Table14[[#This Row],[width_scalebar_px]]</f>
        <v>1.9455252918287938E-3</v>
      </c>
      <c r="J16" s="28">
        <v>3</v>
      </c>
      <c r="K16" s="28">
        <v>516699</v>
      </c>
      <c r="L16" s="28">
        <v>2563</v>
      </c>
      <c r="M16" s="28">
        <v>131876</v>
      </c>
      <c r="N16" s="28">
        <v>1299</v>
      </c>
      <c r="O16" s="28">
        <v>20750</v>
      </c>
      <c r="P16" s="28">
        <v>703</v>
      </c>
      <c r="Q16" s="28"/>
      <c r="R16" s="28"/>
      <c r="S16" s="28">
        <v>16</v>
      </c>
    </row>
    <row r="17" spans="1:19">
      <c r="A17" s="27" t="s">
        <v>6</v>
      </c>
      <c r="B17" s="28" t="s">
        <v>4</v>
      </c>
      <c r="C17" s="28" t="s">
        <v>5</v>
      </c>
      <c r="D17" s="28">
        <v>5</v>
      </c>
      <c r="E17" s="28">
        <v>3840</v>
      </c>
      <c r="F17" s="28">
        <v>2160</v>
      </c>
      <c r="G17" s="28">
        <v>448</v>
      </c>
      <c r="H17" s="28">
        <v>1</v>
      </c>
      <c r="I17" s="28">
        <f>Table14[[#This Row],[width_scalebar_mm]]/Table14[[#This Row],[width_scalebar_px]]</f>
        <v>2.232142857142857E-3</v>
      </c>
      <c r="J17" s="28">
        <v>2</v>
      </c>
      <c r="K17" s="28">
        <v>392704</v>
      </c>
      <c r="L17" s="28">
        <v>2257</v>
      </c>
      <c r="M17" s="28">
        <v>100221</v>
      </c>
      <c r="N17" s="28">
        <v>1140</v>
      </c>
      <c r="O17" s="28">
        <v>17543</v>
      </c>
      <c r="P17" s="28">
        <v>610</v>
      </c>
      <c r="Q17" s="28"/>
      <c r="R17" s="28"/>
      <c r="S17" s="28">
        <v>16</v>
      </c>
    </row>
    <row r="18" spans="1:19">
      <c r="A18" s="27" t="s">
        <v>6</v>
      </c>
      <c r="B18" s="28" t="s">
        <v>4</v>
      </c>
      <c r="C18" s="28" t="s">
        <v>5</v>
      </c>
      <c r="D18" s="28">
        <v>6</v>
      </c>
      <c r="E18" s="28">
        <v>3840</v>
      </c>
      <c r="F18" s="28">
        <v>2160</v>
      </c>
      <c r="G18" s="28">
        <v>439</v>
      </c>
      <c r="H18" s="28">
        <v>1</v>
      </c>
      <c r="I18" s="28">
        <f>Table14[[#This Row],[width_scalebar_mm]]/Table14[[#This Row],[width_scalebar_px]]</f>
        <v>2.2779043280182231E-3</v>
      </c>
      <c r="J18" s="28">
        <v>4</v>
      </c>
      <c r="K18" s="28">
        <v>468361</v>
      </c>
      <c r="L18" s="28">
        <v>2444</v>
      </c>
      <c r="M18" s="28">
        <v>118633</v>
      </c>
      <c r="N18" s="28">
        <v>1233</v>
      </c>
      <c r="O18" s="28">
        <v>22812</v>
      </c>
      <c r="P18" s="28">
        <v>721</v>
      </c>
      <c r="Q18" s="28"/>
      <c r="R18" s="28"/>
      <c r="S18" s="28">
        <v>17</v>
      </c>
    </row>
    <row r="19" spans="1:19">
      <c r="A19" s="27" t="s">
        <v>6</v>
      </c>
      <c r="B19" s="28" t="s">
        <v>4</v>
      </c>
      <c r="C19" s="28" t="s">
        <v>5</v>
      </c>
      <c r="D19" s="28">
        <v>7</v>
      </c>
      <c r="E19" s="28">
        <v>3840</v>
      </c>
      <c r="F19" s="28">
        <v>2160</v>
      </c>
      <c r="G19" s="28">
        <v>322</v>
      </c>
      <c r="H19" s="28">
        <v>0.5</v>
      </c>
      <c r="I19" s="28">
        <f>Table14[[#This Row],[width_scalebar_mm]]/Table14[[#This Row],[width_scalebar_px]]</f>
        <v>1.5527950310559005E-3</v>
      </c>
      <c r="J19" s="28">
        <v>4</v>
      </c>
      <c r="K19" s="28">
        <v>1099669</v>
      </c>
      <c r="L19" s="28">
        <v>3745</v>
      </c>
      <c r="M19" s="28">
        <v>277517</v>
      </c>
      <c r="N19" s="28">
        <v>1884</v>
      </c>
      <c r="O19" s="28">
        <v>55600</v>
      </c>
      <c r="P19" s="28">
        <v>1277</v>
      </c>
      <c r="Q19" s="28"/>
      <c r="R19" s="28"/>
      <c r="S19" s="28">
        <v>17</v>
      </c>
    </row>
    <row r="20" spans="1:19">
      <c r="A20" s="27" t="s">
        <v>6</v>
      </c>
      <c r="B20" s="28" t="s">
        <v>4</v>
      </c>
      <c r="C20" s="28" t="s">
        <v>5</v>
      </c>
      <c r="D20" s="28">
        <v>8</v>
      </c>
      <c r="E20" s="28">
        <v>3840</v>
      </c>
      <c r="F20" s="28">
        <v>2160</v>
      </c>
      <c r="G20" s="28">
        <v>248</v>
      </c>
      <c r="H20" s="28">
        <v>0.5</v>
      </c>
      <c r="I20" s="28">
        <f>Table14[[#This Row],[width_scalebar_mm]]/Table14[[#This Row],[width_scalebar_px]]</f>
        <v>2.0161290322580645E-3</v>
      </c>
      <c r="J20" s="28">
        <v>3</v>
      </c>
      <c r="K20" s="28">
        <v>688006</v>
      </c>
      <c r="L20" s="28">
        <v>2968</v>
      </c>
      <c r="M20" s="28">
        <v>185588</v>
      </c>
      <c r="N20" s="28">
        <v>1543</v>
      </c>
      <c r="O20" s="28">
        <v>40393</v>
      </c>
      <c r="P20" s="28">
        <v>1087</v>
      </c>
      <c r="Q20" s="28"/>
      <c r="R20" s="28"/>
      <c r="S20" s="28">
        <v>18</v>
      </c>
    </row>
    <row r="21" spans="1:19">
      <c r="A21" s="27" t="s">
        <v>6</v>
      </c>
      <c r="B21" s="28" t="s">
        <v>4</v>
      </c>
      <c r="C21" s="28" t="s">
        <v>5</v>
      </c>
      <c r="D21" s="28">
        <v>9</v>
      </c>
      <c r="E21" s="28">
        <v>3840</v>
      </c>
      <c r="F21" s="28">
        <v>2160</v>
      </c>
      <c r="G21" s="28">
        <v>258</v>
      </c>
      <c r="H21" s="28">
        <v>0.5</v>
      </c>
      <c r="I21" s="28">
        <f>Table14[[#This Row],[width_scalebar_mm]]/Table14[[#This Row],[width_scalebar_px]]</f>
        <v>1.937984496124031E-3</v>
      </c>
      <c r="J21" s="28">
        <v>4</v>
      </c>
      <c r="K21" s="28">
        <v>956676</v>
      </c>
      <c r="L21" s="28">
        <v>3489</v>
      </c>
      <c r="M21" s="28">
        <v>252672</v>
      </c>
      <c r="N21" s="28">
        <v>1796</v>
      </c>
      <c r="O21" s="28">
        <v>67827</v>
      </c>
      <c r="P21" s="28">
        <v>1299</v>
      </c>
      <c r="Q21" s="28"/>
      <c r="R21" s="28"/>
      <c r="S21" s="28">
        <v>19</v>
      </c>
    </row>
    <row r="22" spans="1:19">
      <c r="A22" s="27" t="s">
        <v>6</v>
      </c>
      <c r="B22" s="28" t="s">
        <v>4</v>
      </c>
      <c r="C22" s="28" t="s">
        <v>5</v>
      </c>
      <c r="D22" s="28">
        <v>10</v>
      </c>
      <c r="E22" s="28">
        <v>3840</v>
      </c>
      <c r="F22" s="28">
        <v>2160</v>
      </c>
      <c r="G22" s="28">
        <v>288</v>
      </c>
      <c r="H22" s="28">
        <v>0.5</v>
      </c>
      <c r="I22" s="28">
        <f>Table14[[#This Row],[width_scalebar_mm]]/Table14[[#This Row],[width_scalebar_px]]</f>
        <v>1.736111111111111E-3</v>
      </c>
      <c r="J22" s="28">
        <v>4</v>
      </c>
      <c r="K22" s="28">
        <v>1160158</v>
      </c>
      <c r="L22" s="28">
        <v>3861</v>
      </c>
      <c r="M22" s="28">
        <v>353182</v>
      </c>
      <c r="N22" s="28">
        <v>2127</v>
      </c>
      <c r="O22" s="28">
        <v>108276</v>
      </c>
      <c r="P22" s="28">
        <v>1788</v>
      </c>
      <c r="Q22" s="28"/>
      <c r="R22" s="28"/>
      <c r="S22" s="28">
        <v>19</v>
      </c>
    </row>
    <row r="23" spans="1:19">
      <c r="A23" s="27" t="s">
        <v>6</v>
      </c>
      <c r="B23" s="28" t="s">
        <v>4</v>
      </c>
      <c r="C23" s="28" t="s">
        <v>5</v>
      </c>
      <c r="D23" s="28">
        <v>11</v>
      </c>
      <c r="E23" s="28">
        <v>3840</v>
      </c>
      <c r="F23" s="28">
        <v>2160</v>
      </c>
      <c r="G23" s="28">
        <v>266</v>
      </c>
      <c r="H23" s="28">
        <v>0.5</v>
      </c>
      <c r="I23" s="28">
        <f>Table14[[#This Row],[width_scalebar_mm]]/Table14[[#This Row],[width_scalebar_px]]</f>
        <v>1.8796992481203006E-3</v>
      </c>
      <c r="J23" s="28">
        <v>4</v>
      </c>
      <c r="K23" s="28">
        <v>1284795</v>
      </c>
      <c r="L23" s="28">
        <v>4052</v>
      </c>
      <c r="M23" s="28">
        <v>426345</v>
      </c>
      <c r="N23" s="28">
        <v>2335</v>
      </c>
      <c r="O23" s="28">
        <v>155468</v>
      </c>
      <c r="P23" s="28">
        <v>2769</v>
      </c>
      <c r="Q23" s="28"/>
      <c r="R23" s="28"/>
      <c r="S23" s="28">
        <v>19</v>
      </c>
    </row>
    <row r="24" spans="1:19">
      <c r="A24" s="19" t="s">
        <v>7</v>
      </c>
      <c r="B24" s="20" t="s">
        <v>4</v>
      </c>
      <c r="C24" s="20" t="s">
        <v>8</v>
      </c>
      <c r="D24" s="20">
        <v>1</v>
      </c>
      <c r="E24" s="20">
        <v>3840</v>
      </c>
      <c r="F24" s="20">
        <v>2160</v>
      </c>
      <c r="G24" s="20">
        <v>455</v>
      </c>
      <c r="H24" s="20">
        <v>0.5</v>
      </c>
      <c r="I24" s="20">
        <f>Table14[[#This Row],[width_scalebar_mm]]/Table14[[#This Row],[width_scalebar_px]]</f>
        <v>1.0989010989010989E-3</v>
      </c>
      <c r="J24" s="20">
        <v>0</v>
      </c>
      <c r="K24" s="20">
        <v>632534</v>
      </c>
      <c r="L24" s="20">
        <v>2941</v>
      </c>
      <c r="M24" s="20">
        <v>99698</v>
      </c>
      <c r="N24" s="20">
        <v>1146</v>
      </c>
      <c r="O24" s="20">
        <v>4891</v>
      </c>
      <c r="P24" s="20">
        <v>339</v>
      </c>
      <c r="Q24" s="20"/>
      <c r="R24" s="20"/>
      <c r="S24" s="20" t="s">
        <v>287</v>
      </c>
    </row>
    <row r="25" spans="1:19">
      <c r="A25" s="19" t="s">
        <v>7</v>
      </c>
      <c r="B25" s="20" t="s">
        <v>4</v>
      </c>
      <c r="C25" s="20" t="s">
        <v>8</v>
      </c>
      <c r="D25" s="20">
        <v>2</v>
      </c>
      <c r="E25" s="20">
        <v>3840</v>
      </c>
      <c r="F25" s="20">
        <v>2160</v>
      </c>
      <c r="G25" s="20">
        <v>391</v>
      </c>
      <c r="H25" s="20">
        <v>0.5</v>
      </c>
      <c r="I25" s="20">
        <f>Table14[[#This Row],[width_scalebar_mm]]/Table14[[#This Row],[width_scalebar_px]]</f>
        <v>1.2787723785166241E-3</v>
      </c>
      <c r="J25" s="20">
        <v>0</v>
      </c>
      <c r="K25" s="20">
        <v>517600</v>
      </c>
      <c r="L25" s="20">
        <v>2579</v>
      </c>
      <c r="M25" s="20">
        <v>81372</v>
      </c>
      <c r="N25" s="20">
        <v>1024</v>
      </c>
      <c r="O25" s="20">
        <v>5992</v>
      </c>
      <c r="P25" s="20">
        <v>452</v>
      </c>
      <c r="Q25" s="20"/>
      <c r="R25" s="20"/>
      <c r="S25" s="20">
        <v>8</v>
      </c>
    </row>
    <row r="26" spans="1:19">
      <c r="A26" s="19" t="s">
        <v>7</v>
      </c>
      <c r="B26" s="20" t="s">
        <v>4</v>
      </c>
      <c r="C26" s="20" t="s">
        <v>8</v>
      </c>
      <c r="D26" s="20">
        <v>3</v>
      </c>
      <c r="E26" s="20">
        <v>3840</v>
      </c>
      <c r="F26" s="20">
        <v>2160</v>
      </c>
      <c r="G26" s="20">
        <v>422</v>
      </c>
      <c r="H26" s="20">
        <v>0.5</v>
      </c>
      <c r="I26" s="20">
        <f>Table14[[#This Row],[width_scalebar_mm]]/Table14[[#This Row],[width_scalebar_px]]</f>
        <v>1.1848341232227489E-3</v>
      </c>
      <c r="J26" s="20">
        <v>0</v>
      </c>
      <c r="K26" s="20">
        <v>654653</v>
      </c>
      <c r="L26" s="20">
        <v>3250</v>
      </c>
      <c r="M26" s="20">
        <v>130166</v>
      </c>
      <c r="N26" s="20">
        <v>1305</v>
      </c>
      <c r="O26" s="20">
        <v>11311</v>
      </c>
      <c r="P26" s="20">
        <v>538</v>
      </c>
      <c r="Q26" s="20"/>
      <c r="R26" s="20"/>
      <c r="S26" s="20">
        <v>8</v>
      </c>
    </row>
    <row r="27" spans="1:19">
      <c r="A27" s="19" t="s">
        <v>7</v>
      </c>
      <c r="B27" s="20" t="s">
        <v>4</v>
      </c>
      <c r="C27" s="20" t="s">
        <v>8</v>
      </c>
      <c r="D27" s="20">
        <v>4</v>
      </c>
      <c r="E27" s="20">
        <v>3840</v>
      </c>
      <c r="F27" s="20">
        <v>2160</v>
      </c>
      <c r="G27" s="20">
        <v>416</v>
      </c>
      <c r="H27" s="20">
        <v>0.5</v>
      </c>
      <c r="I27" s="20">
        <f>Table14[[#This Row],[width_scalebar_mm]]/Table14[[#This Row],[width_scalebar_px]]</f>
        <v>1.201923076923077E-3</v>
      </c>
      <c r="J27" s="20">
        <v>0</v>
      </c>
      <c r="K27" s="20">
        <v>787174</v>
      </c>
      <c r="L27" s="20">
        <v>3454</v>
      </c>
      <c r="M27" s="20">
        <v>176965</v>
      </c>
      <c r="N27" s="20">
        <v>1520</v>
      </c>
      <c r="O27" s="20">
        <v>18721</v>
      </c>
      <c r="P27" s="20">
        <v>727</v>
      </c>
      <c r="Q27" s="20"/>
      <c r="R27" s="20"/>
      <c r="S27" s="20">
        <v>8</v>
      </c>
    </row>
    <row r="28" spans="1:19">
      <c r="A28" s="19" t="s">
        <v>7</v>
      </c>
      <c r="B28" s="20" t="s">
        <v>4</v>
      </c>
      <c r="C28" s="20" t="s">
        <v>8</v>
      </c>
      <c r="D28" s="20">
        <v>5</v>
      </c>
      <c r="E28" s="20">
        <v>3840</v>
      </c>
      <c r="F28" s="20">
        <v>2160</v>
      </c>
      <c r="G28" s="20">
        <v>199</v>
      </c>
      <c r="H28" s="20">
        <v>0.2</v>
      </c>
      <c r="I28" s="20">
        <f>Table14[[#This Row],[width_scalebar_mm]]/Table14[[#This Row],[width_scalebar_px]]</f>
        <v>1.0050251256281408E-3</v>
      </c>
      <c r="J28" s="20">
        <v>0</v>
      </c>
      <c r="K28" s="20">
        <v>1583538</v>
      </c>
      <c r="L28" s="20">
        <v>5467</v>
      </c>
      <c r="M28" s="20">
        <v>304691</v>
      </c>
      <c r="N28" s="20">
        <v>1972</v>
      </c>
      <c r="O28" s="20">
        <v>31143</v>
      </c>
      <c r="P28" s="20">
        <v>1479</v>
      </c>
      <c r="Q28" s="20"/>
      <c r="R28" s="20"/>
      <c r="S28" s="20" t="s">
        <v>287</v>
      </c>
    </row>
    <row r="29" spans="1:19">
      <c r="A29" s="19" t="s">
        <v>7</v>
      </c>
      <c r="B29" s="20" t="s">
        <v>4</v>
      </c>
      <c r="C29" s="20" t="s">
        <v>8</v>
      </c>
      <c r="D29" s="20">
        <v>6</v>
      </c>
      <c r="E29" s="20">
        <v>3840</v>
      </c>
      <c r="F29" s="20">
        <v>2160</v>
      </c>
      <c r="G29" s="20">
        <v>389</v>
      </c>
      <c r="H29" s="20">
        <v>0.5</v>
      </c>
      <c r="I29" s="20">
        <f>Table14[[#This Row],[width_scalebar_mm]]/Table14[[#This Row],[width_scalebar_px]]</f>
        <v>1.2853470437017994E-3</v>
      </c>
      <c r="J29" s="20">
        <v>1</v>
      </c>
      <c r="K29" s="20">
        <v>886470</v>
      </c>
      <c r="L29" s="20">
        <v>3560</v>
      </c>
      <c r="M29" s="20">
        <v>215120</v>
      </c>
      <c r="N29" s="20">
        <v>1662</v>
      </c>
      <c r="O29" s="20">
        <v>27212</v>
      </c>
      <c r="P29" s="20">
        <v>903</v>
      </c>
      <c r="Q29" s="20"/>
      <c r="R29" s="20"/>
      <c r="S29" s="20">
        <v>11</v>
      </c>
    </row>
    <row r="30" spans="1:19">
      <c r="A30" s="19" t="s">
        <v>7</v>
      </c>
      <c r="B30" s="20" t="s">
        <v>4</v>
      </c>
      <c r="C30" s="20" t="s">
        <v>8</v>
      </c>
      <c r="D30" s="20">
        <v>7</v>
      </c>
      <c r="E30" s="20">
        <v>3840</v>
      </c>
      <c r="F30" s="20">
        <v>2160</v>
      </c>
      <c r="G30" s="20">
        <v>443</v>
      </c>
      <c r="H30" s="20">
        <v>0.5</v>
      </c>
      <c r="I30" s="20">
        <f>Table14[[#This Row],[width_scalebar_mm]]/Table14[[#This Row],[width_scalebar_px]]</f>
        <v>1.128668171557562E-3</v>
      </c>
      <c r="J30" s="20">
        <v>2</v>
      </c>
      <c r="K30" s="20">
        <v>1677363</v>
      </c>
      <c r="L30" s="20">
        <v>4851</v>
      </c>
      <c r="M30" s="20">
        <v>364877</v>
      </c>
      <c r="N30" s="20">
        <v>2176</v>
      </c>
      <c r="O30" s="20">
        <v>45184</v>
      </c>
      <c r="P30" s="20">
        <v>1248</v>
      </c>
      <c r="Q30" s="20"/>
      <c r="R30" s="20"/>
      <c r="S30" s="20">
        <v>11</v>
      </c>
    </row>
    <row r="31" spans="1:19">
      <c r="A31" s="19" t="s">
        <v>7</v>
      </c>
      <c r="B31" s="20" t="s">
        <v>4</v>
      </c>
      <c r="C31" s="20" t="s">
        <v>8</v>
      </c>
      <c r="D31" s="20">
        <v>8</v>
      </c>
      <c r="E31" s="20">
        <v>3840</v>
      </c>
      <c r="F31" s="20">
        <v>2160</v>
      </c>
      <c r="G31" s="20">
        <v>447</v>
      </c>
      <c r="H31" s="20">
        <v>0.5</v>
      </c>
      <c r="I31" s="20">
        <f>Table14[[#This Row],[width_scalebar_mm]]/Table14[[#This Row],[width_scalebar_px]]</f>
        <v>1.1185682326621924E-3</v>
      </c>
      <c r="J31" s="20">
        <v>2</v>
      </c>
      <c r="K31" s="20">
        <v>1667100</v>
      </c>
      <c r="L31" s="20">
        <v>4696</v>
      </c>
      <c r="M31" s="20">
        <v>376988</v>
      </c>
      <c r="N31" s="20">
        <v>2199</v>
      </c>
      <c r="O31" s="20">
        <v>46613</v>
      </c>
      <c r="P31" s="20">
        <v>1293</v>
      </c>
      <c r="Q31" s="20"/>
      <c r="R31" s="20"/>
      <c r="S31" s="20">
        <v>12</v>
      </c>
    </row>
    <row r="32" spans="1:19">
      <c r="A32" s="19" t="s">
        <v>7</v>
      </c>
      <c r="B32" s="20" t="s">
        <v>4</v>
      </c>
      <c r="C32" s="20" t="s">
        <v>8</v>
      </c>
      <c r="D32" s="20">
        <v>9</v>
      </c>
      <c r="E32" s="20">
        <v>3840</v>
      </c>
      <c r="F32" s="20">
        <v>2160</v>
      </c>
      <c r="G32" s="20">
        <v>207</v>
      </c>
      <c r="H32" s="20">
        <v>0.2</v>
      </c>
      <c r="I32" s="20">
        <f>Table14[[#This Row],[width_scalebar_mm]]/Table14[[#This Row],[width_scalebar_px]]</f>
        <v>9.6618357487922714E-4</v>
      </c>
      <c r="J32" s="20">
        <v>2</v>
      </c>
      <c r="K32" s="20">
        <v>1942296</v>
      </c>
      <c r="L32" s="20">
        <v>5157</v>
      </c>
      <c r="M32" s="20">
        <v>447009</v>
      </c>
      <c r="N32" s="20">
        <v>2391</v>
      </c>
      <c r="O32" s="20">
        <v>63160</v>
      </c>
      <c r="P32" s="20">
        <v>1557</v>
      </c>
      <c r="Q32" s="20"/>
      <c r="R32" s="20"/>
      <c r="S32" s="20">
        <v>13</v>
      </c>
    </row>
    <row r="33" spans="1:19">
      <c r="A33" s="19" t="s">
        <v>7</v>
      </c>
      <c r="B33" s="20" t="s">
        <v>4</v>
      </c>
      <c r="C33" s="20" t="s">
        <v>8</v>
      </c>
      <c r="D33" s="20">
        <v>10</v>
      </c>
      <c r="E33" s="20">
        <v>3840</v>
      </c>
      <c r="F33" s="20">
        <v>2160</v>
      </c>
      <c r="G33" s="20">
        <v>416</v>
      </c>
      <c r="H33" s="20">
        <v>0.5</v>
      </c>
      <c r="I33" s="20">
        <f>Table14[[#This Row],[width_scalebar_mm]]/Table14[[#This Row],[width_scalebar_px]]</f>
        <v>1.201923076923077E-3</v>
      </c>
      <c r="J33" s="20">
        <v>3</v>
      </c>
      <c r="K33" s="20">
        <v>1313487</v>
      </c>
      <c r="L33" s="20">
        <v>4153</v>
      </c>
      <c r="M33" s="20">
        <v>310743</v>
      </c>
      <c r="N33" s="20">
        <v>1993</v>
      </c>
      <c r="O33" s="20">
        <v>40864</v>
      </c>
      <c r="P33" s="20">
        <v>1253</v>
      </c>
      <c r="Q33" s="20"/>
      <c r="R33" s="20"/>
      <c r="S33" s="20">
        <v>14</v>
      </c>
    </row>
    <row r="34" spans="1:19">
      <c r="A34" s="19" t="s">
        <v>7</v>
      </c>
      <c r="B34" s="20" t="s">
        <v>4</v>
      </c>
      <c r="C34" s="20" t="s">
        <v>8</v>
      </c>
      <c r="D34" s="20">
        <v>11</v>
      </c>
      <c r="E34" s="20">
        <v>3840</v>
      </c>
      <c r="F34" s="20">
        <v>2160</v>
      </c>
      <c r="G34" s="20">
        <v>431</v>
      </c>
      <c r="H34" s="20">
        <v>0.5</v>
      </c>
      <c r="I34" s="20">
        <f>Table14[[#This Row],[width_scalebar_mm]]/Table14[[#This Row],[width_scalebar_px]]</f>
        <v>1.1600928074245939E-3</v>
      </c>
      <c r="J34" s="20">
        <v>3</v>
      </c>
      <c r="K34" s="20">
        <v>1698519</v>
      </c>
      <c r="L34" s="20">
        <v>4703</v>
      </c>
      <c r="M34" s="20">
        <v>404524</v>
      </c>
      <c r="N34" s="20">
        <v>2271</v>
      </c>
      <c r="O34" s="20">
        <v>61446</v>
      </c>
      <c r="P34" s="20">
        <v>1750</v>
      </c>
      <c r="Q34" s="20"/>
      <c r="R34" s="20"/>
      <c r="S34" s="20">
        <v>14</v>
      </c>
    </row>
    <row r="35" spans="1:19">
      <c r="A35" s="19" t="s">
        <v>7</v>
      </c>
      <c r="B35" s="20" t="s">
        <v>4</v>
      </c>
      <c r="C35" s="20" t="s">
        <v>8</v>
      </c>
      <c r="D35" s="20">
        <v>12</v>
      </c>
      <c r="E35" s="20">
        <v>3840</v>
      </c>
      <c r="F35" s="20">
        <v>2160</v>
      </c>
      <c r="G35" s="20">
        <v>198</v>
      </c>
      <c r="H35" s="20">
        <v>0.2</v>
      </c>
      <c r="I35" s="20">
        <f>Table14[[#This Row],[width_scalebar_mm]]/Table14[[#This Row],[width_scalebar_px]]</f>
        <v>1.0101010101010101E-3</v>
      </c>
      <c r="J35" s="20">
        <v>3</v>
      </c>
      <c r="K35" s="20">
        <v>2108694</v>
      </c>
      <c r="L35" s="20">
        <v>5190</v>
      </c>
      <c r="M35" s="20">
        <v>504733</v>
      </c>
      <c r="N35" s="20">
        <v>2531</v>
      </c>
      <c r="O35" s="20">
        <v>77800</v>
      </c>
      <c r="P35" s="20">
        <v>1519</v>
      </c>
      <c r="Q35" s="20"/>
      <c r="R35" s="20"/>
      <c r="S35" s="20">
        <v>14</v>
      </c>
    </row>
    <row r="36" spans="1:19">
      <c r="A36" s="19" t="s">
        <v>7</v>
      </c>
      <c r="B36" s="20" t="s">
        <v>4</v>
      </c>
      <c r="C36" s="20" t="s">
        <v>8</v>
      </c>
      <c r="D36" s="20">
        <v>13</v>
      </c>
      <c r="E36" s="20">
        <v>3840</v>
      </c>
      <c r="F36" s="20">
        <v>2160</v>
      </c>
      <c r="G36" s="20">
        <v>198</v>
      </c>
      <c r="H36" s="20">
        <v>0.2</v>
      </c>
      <c r="I36" s="20">
        <f>Table14[[#This Row],[width_scalebar_mm]]/Table14[[#This Row],[width_scalebar_px]]</f>
        <v>1.0101010101010101E-3</v>
      </c>
      <c r="J36" s="20">
        <v>3</v>
      </c>
      <c r="K36" s="20">
        <v>2555610</v>
      </c>
      <c r="L36" s="20">
        <v>5708</v>
      </c>
      <c r="M36" s="20">
        <v>667777</v>
      </c>
      <c r="N36" s="20">
        <v>2914</v>
      </c>
      <c r="O36" s="20">
        <v>131675</v>
      </c>
      <c r="P36" s="20">
        <v>1442</v>
      </c>
      <c r="Q36" s="20"/>
      <c r="R36" s="20"/>
      <c r="S36" s="20">
        <v>15</v>
      </c>
    </row>
    <row r="37" spans="1:19">
      <c r="A37" s="19" t="s">
        <v>7</v>
      </c>
      <c r="B37" s="20" t="s">
        <v>4</v>
      </c>
      <c r="C37" s="20" t="s">
        <v>8</v>
      </c>
      <c r="D37" s="20">
        <v>14</v>
      </c>
      <c r="E37" s="20">
        <v>3840</v>
      </c>
      <c r="F37" s="20">
        <v>2160</v>
      </c>
      <c r="G37" s="20">
        <v>419</v>
      </c>
      <c r="H37" s="20">
        <v>0.5</v>
      </c>
      <c r="I37" s="20">
        <f>Table14[[#This Row],[width_scalebar_mm]]/Table14[[#This Row],[width_scalebar_px]]</f>
        <v>1.1933174224343676E-3</v>
      </c>
      <c r="J37" s="20">
        <v>1</v>
      </c>
      <c r="K37" s="20">
        <v>1959441</v>
      </c>
      <c r="L37" s="20">
        <v>5000</v>
      </c>
      <c r="M37" s="20">
        <v>532651</v>
      </c>
      <c r="N37" s="20">
        <v>2601</v>
      </c>
      <c r="O37" s="20">
        <v>116532</v>
      </c>
      <c r="P37" s="20">
        <v>1358</v>
      </c>
      <c r="Q37" s="20"/>
      <c r="R37" s="20"/>
      <c r="S37" s="20">
        <v>15</v>
      </c>
    </row>
    <row r="38" spans="1:19">
      <c r="A38" s="19" t="s">
        <v>7</v>
      </c>
      <c r="B38" s="20" t="s">
        <v>4</v>
      </c>
      <c r="C38" s="20" t="s">
        <v>8</v>
      </c>
      <c r="D38" s="20">
        <v>15</v>
      </c>
      <c r="E38" s="20">
        <v>3840</v>
      </c>
      <c r="F38" s="20">
        <v>2160</v>
      </c>
      <c r="G38" s="20">
        <v>365</v>
      </c>
      <c r="H38" s="20">
        <v>0.5</v>
      </c>
      <c r="I38" s="20">
        <f>Table14[[#This Row],[width_scalebar_mm]]/Table14[[#This Row],[width_scalebar_px]]</f>
        <v>1.3698630136986301E-3</v>
      </c>
      <c r="J38" s="20">
        <v>1</v>
      </c>
      <c r="K38" s="20">
        <v>1664532</v>
      </c>
      <c r="L38" s="20">
        <v>4598</v>
      </c>
      <c r="M38" s="20">
        <v>455013</v>
      </c>
      <c r="N38" s="20">
        <v>2407</v>
      </c>
      <c r="O38" s="20">
        <v>97124</v>
      </c>
      <c r="P38" s="20">
        <v>1798</v>
      </c>
      <c r="Q38" s="20"/>
      <c r="R38" s="20"/>
      <c r="S38" s="20">
        <v>16</v>
      </c>
    </row>
    <row r="39" spans="1:19">
      <c r="A39" s="19" t="s">
        <v>7</v>
      </c>
      <c r="B39" s="20" t="s">
        <v>4</v>
      </c>
      <c r="C39" s="20" t="s">
        <v>8</v>
      </c>
      <c r="D39" s="20">
        <v>16</v>
      </c>
      <c r="E39" s="20">
        <v>3840</v>
      </c>
      <c r="F39" s="20">
        <v>2160</v>
      </c>
      <c r="G39" s="20">
        <v>446</v>
      </c>
      <c r="H39" s="20">
        <v>0.5</v>
      </c>
      <c r="I39" s="20">
        <f>Table14[[#This Row],[width_scalebar_mm]]/Table14[[#This Row],[width_scalebar_px]]</f>
        <v>1.1210762331838565E-3</v>
      </c>
      <c r="J39" s="20">
        <v>1</v>
      </c>
      <c r="K39" s="20">
        <v>3096090</v>
      </c>
      <c r="L39" s="20">
        <v>6343</v>
      </c>
      <c r="M39" s="20">
        <v>836609</v>
      </c>
      <c r="N39" s="20">
        <v>3273</v>
      </c>
      <c r="O39" s="20">
        <v>225611</v>
      </c>
      <c r="P39" s="20">
        <v>2663</v>
      </c>
      <c r="Q39" s="20"/>
      <c r="R39" s="20"/>
      <c r="S39" s="20">
        <v>16</v>
      </c>
    </row>
    <row r="40" spans="1:19">
      <c r="A40" s="19" t="s">
        <v>7</v>
      </c>
      <c r="B40" s="20" t="s">
        <v>4</v>
      </c>
      <c r="C40" s="20" t="s">
        <v>8</v>
      </c>
      <c r="D40" s="20">
        <v>17</v>
      </c>
      <c r="E40" s="20">
        <v>3840</v>
      </c>
      <c r="F40" s="20">
        <v>2160</v>
      </c>
      <c r="G40" s="20">
        <v>273</v>
      </c>
      <c r="H40" s="20">
        <v>0.5</v>
      </c>
      <c r="I40" s="20">
        <f>Table14[[#This Row],[width_scalebar_mm]]/Table14[[#This Row],[width_scalebar_px]]</f>
        <v>1.8315018315018315E-3</v>
      </c>
      <c r="J40" s="20">
        <v>0</v>
      </c>
      <c r="K40" s="20">
        <v>1690566</v>
      </c>
      <c r="L40" s="20">
        <v>4643</v>
      </c>
      <c r="M40" s="20">
        <v>507276</v>
      </c>
      <c r="N40" s="20">
        <v>2538</v>
      </c>
      <c r="O40" s="20">
        <v>177674</v>
      </c>
      <c r="P40" s="20">
        <v>2574</v>
      </c>
      <c r="Q40" s="20"/>
      <c r="R40" s="20"/>
      <c r="S40" s="20">
        <v>17</v>
      </c>
    </row>
    <row r="41" spans="1:19">
      <c r="A41" s="27" t="s">
        <v>9</v>
      </c>
      <c r="B41" s="28" t="s">
        <v>4</v>
      </c>
      <c r="C41" s="28" t="s">
        <v>5</v>
      </c>
      <c r="D41" s="28">
        <v>1</v>
      </c>
      <c r="E41" s="28">
        <v>3840</v>
      </c>
      <c r="F41" s="28">
        <v>2160</v>
      </c>
      <c r="G41" s="28">
        <v>198</v>
      </c>
      <c r="H41" s="28">
        <v>0.2</v>
      </c>
      <c r="I41" s="28">
        <f>Table14[[#This Row],[width_scalebar_mm]]/Table14[[#This Row],[width_scalebar_px]]</f>
        <v>1.0101010101010101E-3</v>
      </c>
      <c r="J41" s="28">
        <v>1</v>
      </c>
      <c r="K41" s="28">
        <v>2035806</v>
      </c>
      <c r="L41" s="28">
        <v>5261</v>
      </c>
      <c r="M41" s="28">
        <v>298950</v>
      </c>
      <c r="N41" s="28">
        <v>2016</v>
      </c>
      <c r="O41" s="28">
        <v>36683</v>
      </c>
      <c r="P41" s="28">
        <v>791</v>
      </c>
      <c r="Q41" s="28"/>
      <c r="R41" s="28"/>
      <c r="S41" s="28">
        <v>12</v>
      </c>
    </row>
    <row r="42" spans="1:19">
      <c r="A42" s="27" t="s">
        <v>9</v>
      </c>
      <c r="B42" s="28" t="s">
        <v>4</v>
      </c>
      <c r="C42" s="28" t="s">
        <v>5</v>
      </c>
      <c r="D42" s="28">
        <v>2</v>
      </c>
      <c r="E42" s="28">
        <v>3840</v>
      </c>
      <c r="F42" s="28">
        <v>2160</v>
      </c>
      <c r="G42" s="28">
        <v>453</v>
      </c>
      <c r="H42" s="28">
        <v>0.5</v>
      </c>
      <c r="I42" s="28">
        <f>Table14[[#This Row],[width_scalebar_mm]]/Table14[[#This Row],[width_scalebar_px]]</f>
        <v>1.1037527593818985E-3</v>
      </c>
      <c r="J42" s="28">
        <v>4</v>
      </c>
      <c r="K42" s="28">
        <v>1500342</v>
      </c>
      <c r="L42" s="28">
        <v>4386</v>
      </c>
      <c r="M42" s="28">
        <v>286700</v>
      </c>
      <c r="N42" s="28">
        <v>1919</v>
      </c>
      <c r="O42" s="28">
        <v>35783</v>
      </c>
      <c r="P42" s="28">
        <v>980</v>
      </c>
      <c r="Q42" s="28"/>
      <c r="R42" s="28"/>
      <c r="S42" s="28">
        <v>13</v>
      </c>
    </row>
    <row r="43" spans="1:19">
      <c r="A43" s="27" t="s">
        <v>9</v>
      </c>
      <c r="B43" s="28" t="s">
        <v>4</v>
      </c>
      <c r="C43" s="28" t="s">
        <v>5</v>
      </c>
      <c r="D43" s="28">
        <v>3</v>
      </c>
      <c r="E43" s="28">
        <v>3840</v>
      </c>
      <c r="F43" s="28">
        <v>2160</v>
      </c>
      <c r="G43" s="28">
        <v>464</v>
      </c>
      <c r="H43" s="28">
        <v>0.5</v>
      </c>
      <c r="I43" s="28">
        <f>Table14[[#This Row],[width_scalebar_mm]]/Table14[[#This Row],[width_scalebar_px]]</f>
        <v>1.0775862068965517E-3</v>
      </c>
      <c r="J43" s="28">
        <v>3</v>
      </c>
      <c r="K43" s="28">
        <v>1677450</v>
      </c>
      <c r="L43" s="28">
        <v>4628</v>
      </c>
      <c r="M43" s="28">
        <v>328285</v>
      </c>
      <c r="N43" s="28">
        <v>2048</v>
      </c>
      <c r="O43" s="28">
        <v>44835</v>
      </c>
      <c r="P43" s="28">
        <v>1125</v>
      </c>
      <c r="Q43" s="28"/>
      <c r="R43" s="28"/>
      <c r="S43" s="28">
        <v>13</v>
      </c>
    </row>
    <row r="44" spans="1:19">
      <c r="A44" s="27" t="s">
        <v>9</v>
      </c>
      <c r="B44" s="28" t="s">
        <v>4</v>
      </c>
      <c r="C44" s="28" t="s">
        <v>5</v>
      </c>
      <c r="D44" s="28">
        <v>4</v>
      </c>
      <c r="E44" s="28">
        <v>3840</v>
      </c>
      <c r="F44" s="28">
        <v>2160</v>
      </c>
      <c r="G44" s="28">
        <v>200</v>
      </c>
      <c r="H44" s="28">
        <v>0.2</v>
      </c>
      <c r="I44" s="28">
        <f>Table14[[#This Row],[width_scalebar_mm]]/Table14[[#This Row],[width_scalebar_px]]</f>
        <v>1E-3</v>
      </c>
      <c r="J44" s="28">
        <v>4</v>
      </c>
      <c r="K44" s="28">
        <v>2091387</v>
      </c>
      <c r="L44" s="28">
        <v>5246</v>
      </c>
      <c r="M44" s="28">
        <v>404003</v>
      </c>
      <c r="N44" s="28">
        <v>2273</v>
      </c>
      <c r="O44" s="28">
        <v>57068</v>
      </c>
      <c r="P44" s="28">
        <v>1562</v>
      </c>
      <c r="Q44" s="28"/>
      <c r="R44" s="28"/>
      <c r="S44" s="28">
        <v>13</v>
      </c>
    </row>
    <row r="45" spans="1:19">
      <c r="A45" s="27" t="s">
        <v>9</v>
      </c>
      <c r="B45" s="28" t="s">
        <v>4</v>
      </c>
      <c r="C45" s="28" t="s">
        <v>5</v>
      </c>
      <c r="D45" s="28">
        <v>5</v>
      </c>
      <c r="E45" s="28">
        <v>3840</v>
      </c>
      <c r="F45" s="28">
        <v>2160</v>
      </c>
      <c r="G45" s="28">
        <v>464</v>
      </c>
      <c r="H45" s="28">
        <v>0.5</v>
      </c>
      <c r="I45" s="28">
        <f>Table14[[#This Row],[width_scalebar_mm]]/Table14[[#This Row],[width_scalebar_px]]</f>
        <v>1.0775862068965517E-3</v>
      </c>
      <c r="J45" s="28">
        <v>4</v>
      </c>
      <c r="K45" s="28">
        <v>2158683</v>
      </c>
      <c r="L45" s="28">
        <v>5298</v>
      </c>
      <c r="M45" s="28">
        <v>454867</v>
      </c>
      <c r="N45" s="28">
        <v>2409</v>
      </c>
      <c r="O45" s="28">
        <v>83536</v>
      </c>
      <c r="P45" s="28">
        <v>1993</v>
      </c>
      <c r="Q45" s="28"/>
      <c r="R45" s="28"/>
      <c r="S45" s="28">
        <v>13</v>
      </c>
    </row>
    <row r="46" spans="1:19">
      <c r="A46" s="27" t="s">
        <v>9</v>
      </c>
      <c r="B46" s="28" t="s">
        <v>4</v>
      </c>
      <c r="C46" s="28" t="s">
        <v>5</v>
      </c>
      <c r="D46" s="28">
        <v>6</v>
      </c>
      <c r="E46" s="28">
        <v>3840</v>
      </c>
      <c r="F46" s="28">
        <v>2160</v>
      </c>
      <c r="G46" s="28">
        <v>443</v>
      </c>
      <c r="H46" s="28">
        <v>0.5</v>
      </c>
      <c r="I46" s="28">
        <f>Table14[[#This Row],[width_scalebar_mm]]/Table14[[#This Row],[width_scalebar_px]]</f>
        <v>1.128668171557562E-3</v>
      </c>
      <c r="J46" s="28">
        <v>4</v>
      </c>
      <c r="K46" s="28">
        <v>1944684</v>
      </c>
      <c r="L46" s="28">
        <v>5029</v>
      </c>
      <c r="M46" s="28">
        <v>472136</v>
      </c>
      <c r="N46" s="28">
        <v>2454</v>
      </c>
      <c r="O46" s="28">
        <v>88427</v>
      </c>
      <c r="P46" s="28">
        <v>1753</v>
      </c>
      <c r="Q46" s="28"/>
      <c r="R46" s="28"/>
      <c r="S46" s="28">
        <v>15</v>
      </c>
    </row>
    <row r="47" spans="1:19">
      <c r="A47" s="27" t="s">
        <v>9</v>
      </c>
      <c r="B47" s="28" t="s">
        <v>4</v>
      </c>
      <c r="C47" s="28" t="s">
        <v>5</v>
      </c>
      <c r="D47" s="28">
        <v>7</v>
      </c>
      <c r="E47" s="28">
        <v>3840</v>
      </c>
      <c r="F47" s="28">
        <v>2160</v>
      </c>
      <c r="G47" s="28">
        <v>204</v>
      </c>
      <c r="H47" s="28">
        <v>0.2</v>
      </c>
      <c r="I47" s="28">
        <f>Table14[[#This Row],[width_scalebar_mm]]/Table14[[#This Row],[width_scalebar_px]]</f>
        <v>9.8039215686274508E-4</v>
      </c>
      <c r="J47" s="28">
        <v>4</v>
      </c>
      <c r="K47" s="28">
        <v>2681592</v>
      </c>
      <c r="L47" s="28">
        <v>5874</v>
      </c>
      <c r="M47" s="28">
        <v>650888</v>
      </c>
      <c r="N47" s="28">
        <v>2882</v>
      </c>
      <c r="O47" s="28">
        <v>150392</v>
      </c>
      <c r="P47" s="28">
        <v>2586</v>
      </c>
      <c r="Q47" s="28"/>
      <c r="R47" s="28"/>
      <c r="S47" s="28">
        <v>15</v>
      </c>
    </row>
    <row r="48" spans="1:19">
      <c r="A48" s="27" t="s">
        <v>9</v>
      </c>
      <c r="B48" s="28" t="s">
        <v>4</v>
      </c>
      <c r="C48" s="28" t="s">
        <v>5</v>
      </c>
      <c r="D48" s="28">
        <v>8</v>
      </c>
      <c r="E48" s="28">
        <v>3840</v>
      </c>
      <c r="F48" s="28">
        <v>2160</v>
      </c>
      <c r="G48" s="28">
        <v>428</v>
      </c>
      <c r="H48" s="28">
        <v>0.5</v>
      </c>
      <c r="I48" s="28">
        <f>Table14[[#This Row],[width_scalebar_mm]]/Table14[[#This Row],[width_scalebar_px]]</f>
        <v>1.1682242990654205E-3</v>
      </c>
      <c r="J48" s="28">
        <v>4</v>
      </c>
      <c r="K48" s="28">
        <v>2463300</v>
      </c>
      <c r="L48" s="28">
        <v>5649</v>
      </c>
      <c r="M48" s="28">
        <v>615720</v>
      </c>
      <c r="N48" s="28">
        <v>2801</v>
      </c>
      <c r="O48" s="28">
        <v>162964</v>
      </c>
      <c r="P48" s="28">
        <v>2721</v>
      </c>
      <c r="Q48" s="28"/>
      <c r="R48" s="28"/>
      <c r="S48" s="28">
        <v>16</v>
      </c>
    </row>
    <row r="49" spans="1:19">
      <c r="A49" s="27" t="s">
        <v>9</v>
      </c>
      <c r="B49" s="28" t="s">
        <v>4</v>
      </c>
      <c r="C49" s="28" t="s">
        <v>5</v>
      </c>
      <c r="D49" s="28">
        <v>9</v>
      </c>
      <c r="E49" s="28">
        <v>3840</v>
      </c>
      <c r="F49" s="28">
        <v>2160</v>
      </c>
      <c r="G49" s="28">
        <v>257</v>
      </c>
      <c r="H49" s="28">
        <v>0.5</v>
      </c>
      <c r="I49" s="28">
        <f>Table14[[#This Row],[width_scalebar_mm]]/Table14[[#This Row],[width_scalebar_px]]</f>
        <v>1.9455252918287938E-3</v>
      </c>
      <c r="J49" s="28">
        <v>4</v>
      </c>
      <c r="K49" s="28">
        <v>959185</v>
      </c>
      <c r="L49" s="28">
        <v>3492</v>
      </c>
      <c r="M49" s="28">
        <v>238962</v>
      </c>
      <c r="N49" s="28">
        <v>1746</v>
      </c>
      <c r="O49" s="28">
        <v>75985</v>
      </c>
      <c r="P49" s="28">
        <v>2331</v>
      </c>
      <c r="Q49" s="28"/>
      <c r="R49" s="28"/>
      <c r="S49" s="28">
        <v>16</v>
      </c>
    </row>
    <row r="50" spans="1:19">
      <c r="A50" s="27" t="s">
        <v>9</v>
      </c>
      <c r="B50" s="28" t="s">
        <v>4</v>
      </c>
      <c r="C50" s="28" t="s">
        <v>5</v>
      </c>
      <c r="D50" s="28">
        <v>10</v>
      </c>
      <c r="E50" s="28">
        <v>3840</v>
      </c>
      <c r="F50" s="28">
        <v>2160</v>
      </c>
      <c r="G50" s="28">
        <v>254</v>
      </c>
      <c r="H50" s="28">
        <v>0.5</v>
      </c>
      <c r="I50" s="28">
        <f>Table14[[#This Row],[width_scalebar_mm]]/Table14[[#This Row],[width_scalebar_px]]</f>
        <v>1.968503937007874E-3</v>
      </c>
      <c r="J50" s="28">
        <v>4</v>
      </c>
      <c r="K50" s="28">
        <v>955861</v>
      </c>
      <c r="L50" s="28">
        <v>3482</v>
      </c>
      <c r="M50" s="28">
        <v>262334</v>
      </c>
      <c r="N50" s="28">
        <v>1825</v>
      </c>
      <c r="O50" s="28">
        <v>77805</v>
      </c>
      <c r="P50" s="28">
        <v>2178</v>
      </c>
      <c r="Q50" s="28"/>
      <c r="R50" s="28"/>
      <c r="S50" s="28">
        <v>16</v>
      </c>
    </row>
    <row r="51" spans="1:19">
      <c r="A51" s="27" t="s">
        <v>9</v>
      </c>
      <c r="B51" s="28" t="s">
        <v>4</v>
      </c>
      <c r="C51" s="28" t="s">
        <v>5</v>
      </c>
      <c r="D51" s="28">
        <v>11</v>
      </c>
      <c r="E51" s="28">
        <v>3840</v>
      </c>
      <c r="F51" s="28">
        <v>2160</v>
      </c>
      <c r="G51" s="28">
        <v>252</v>
      </c>
      <c r="H51" s="28">
        <v>0.5</v>
      </c>
      <c r="I51" s="28">
        <f>Table14[[#This Row],[width_scalebar_mm]]/Table14[[#This Row],[width_scalebar_px]]</f>
        <v>1.984126984126984E-3</v>
      </c>
      <c r="J51" s="28">
        <v>4</v>
      </c>
      <c r="K51" s="28">
        <v>1280684</v>
      </c>
      <c r="L51" s="28">
        <v>4040</v>
      </c>
      <c r="M51" s="28">
        <v>374067</v>
      </c>
      <c r="N51" s="28">
        <v>2189</v>
      </c>
      <c r="O51" s="28">
        <v>149276</v>
      </c>
      <c r="P51" s="28">
        <v>3057</v>
      </c>
      <c r="Q51" s="28"/>
      <c r="R51" s="28"/>
      <c r="S51" s="28">
        <v>16</v>
      </c>
    </row>
    <row r="52" spans="1:19">
      <c r="A52" s="27" t="s">
        <v>9</v>
      </c>
      <c r="B52" s="28" t="s">
        <v>4</v>
      </c>
      <c r="C52" s="28" t="s">
        <v>5</v>
      </c>
      <c r="D52" s="28">
        <v>12</v>
      </c>
      <c r="E52" s="28">
        <v>3840</v>
      </c>
      <c r="F52" s="28">
        <v>2160</v>
      </c>
      <c r="G52" s="28">
        <v>453</v>
      </c>
      <c r="H52" s="28">
        <v>1</v>
      </c>
      <c r="I52" s="28">
        <f>Table14[[#This Row],[width_scalebar_mm]]/Table14[[#This Row],[width_scalebar_px]]</f>
        <v>2.2075055187637969E-3</v>
      </c>
      <c r="J52" s="28">
        <v>4</v>
      </c>
      <c r="K52" s="28">
        <v>2553993</v>
      </c>
      <c r="L52" s="28">
        <v>5699</v>
      </c>
      <c r="M52" s="28">
        <v>785003</v>
      </c>
      <c r="N52" s="28">
        <v>3185</v>
      </c>
      <c r="O52" s="28">
        <v>414817</v>
      </c>
      <c r="P52" s="28">
        <v>4278</v>
      </c>
      <c r="Q52" s="28"/>
      <c r="R52" s="28"/>
      <c r="S52" s="28">
        <v>17</v>
      </c>
    </row>
    <row r="53" spans="1:19">
      <c r="A53" s="19" t="s">
        <v>10</v>
      </c>
      <c r="B53" s="20" t="s">
        <v>4</v>
      </c>
      <c r="C53" s="20" t="s">
        <v>5</v>
      </c>
      <c r="D53" s="20">
        <v>1</v>
      </c>
      <c r="E53" s="20">
        <v>3840</v>
      </c>
      <c r="F53" s="20">
        <v>2160</v>
      </c>
      <c r="G53" s="20">
        <v>453</v>
      </c>
      <c r="H53" s="20">
        <v>0.5</v>
      </c>
      <c r="I53" s="20">
        <f>Table14[[#This Row],[width_scalebar_mm]]/Table14[[#This Row],[width_scalebar_px]]</f>
        <v>1.1037527593818985E-3</v>
      </c>
      <c r="J53" s="20">
        <v>1</v>
      </c>
      <c r="K53" s="20">
        <v>1564299</v>
      </c>
      <c r="L53" s="20">
        <v>4477.4870000000001</v>
      </c>
      <c r="M53" s="20">
        <v>267738</v>
      </c>
      <c r="N53" s="20">
        <v>1864.162</v>
      </c>
      <c r="O53" s="20">
        <v>25459</v>
      </c>
      <c r="P53" s="20">
        <v>723.25199999999995</v>
      </c>
      <c r="Q53" s="20">
        <v>51065</v>
      </c>
      <c r="R53" s="20">
        <v>29484</v>
      </c>
      <c r="S53" s="20">
        <v>11</v>
      </c>
    </row>
    <row r="54" spans="1:19">
      <c r="A54" s="19" t="s">
        <v>10</v>
      </c>
      <c r="B54" s="20" t="s">
        <v>4</v>
      </c>
      <c r="C54" s="20" t="s">
        <v>5</v>
      </c>
      <c r="D54" s="20">
        <v>2</v>
      </c>
      <c r="E54" s="20">
        <v>3840</v>
      </c>
      <c r="F54" s="20">
        <v>2160</v>
      </c>
      <c r="G54" s="20">
        <v>425</v>
      </c>
      <c r="H54" s="20">
        <v>0.5</v>
      </c>
      <c r="I54" s="20">
        <f>Table14[[#This Row],[width_scalebar_mm]]/Table14[[#This Row],[width_scalebar_px]]</f>
        <v>1.176470588235294E-3</v>
      </c>
      <c r="J54" s="20">
        <v>0</v>
      </c>
      <c r="K54" s="20">
        <v>1717230</v>
      </c>
      <c r="L54" s="20">
        <v>4668.2449999999999</v>
      </c>
      <c r="M54" s="20">
        <v>302313</v>
      </c>
      <c r="N54" s="20">
        <v>1963.15</v>
      </c>
      <c r="O54" s="20">
        <v>41499</v>
      </c>
      <c r="P54" s="20">
        <v>1048.354</v>
      </c>
      <c r="Q54" s="20">
        <v>0</v>
      </c>
      <c r="R54" s="20">
        <v>61175</v>
      </c>
      <c r="S54" s="20">
        <v>13</v>
      </c>
    </row>
    <row r="55" spans="1:19">
      <c r="A55" s="19" t="s">
        <v>10</v>
      </c>
      <c r="B55" s="20" t="s">
        <v>4</v>
      </c>
      <c r="C55" s="20" t="s">
        <v>5</v>
      </c>
      <c r="D55" s="20">
        <v>3</v>
      </c>
      <c r="E55" s="20">
        <v>3840</v>
      </c>
      <c r="F55" s="20">
        <v>2160</v>
      </c>
      <c r="G55" s="20">
        <v>438</v>
      </c>
      <c r="H55" s="20">
        <v>0.5</v>
      </c>
      <c r="I55" s="20">
        <f>Table14[[#This Row],[width_scalebar_mm]]/Table14[[#This Row],[width_scalebar_px]]</f>
        <v>1.1415525114155251E-3</v>
      </c>
      <c r="J55" s="20">
        <v>0</v>
      </c>
      <c r="K55" s="20">
        <v>1764996</v>
      </c>
      <c r="L55" s="20">
        <v>4768.0519999999997</v>
      </c>
      <c r="M55" s="20">
        <v>330714</v>
      </c>
      <c r="N55" s="20">
        <v>2055.4050000000002</v>
      </c>
      <c r="O55" s="20">
        <v>52793</v>
      </c>
      <c r="P55" s="20">
        <v>1231.0650000000001</v>
      </c>
      <c r="Q55" s="20">
        <v>3958</v>
      </c>
      <c r="R55" s="20">
        <v>72532</v>
      </c>
      <c r="S55" s="20">
        <v>13</v>
      </c>
    </row>
    <row r="56" spans="1:19">
      <c r="A56" s="19" t="s">
        <v>10</v>
      </c>
      <c r="B56" s="20" t="s">
        <v>4</v>
      </c>
      <c r="C56" s="20" t="s">
        <v>5</v>
      </c>
      <c r="D56" s="20">
        <v>4</v>
      </c>
      <c r="E56" s="20">
        <v>3840</v>
      </c>
      <c r="F56" s="20">
        <v>2160</v>
      </c>
      <c r="G56" s="20">
        <v>199</v>
      </c>
      <c r="H56" s="20">
        <v>0.2</v>
      </c>
      <c r="I56" s="20">
        <f>Table14[[#This Row],[width_scalebar_mm]]/Table14[[#This Row],[width_scalebar_px]]</f>
        <v>1.0050251256281408E-3</v>
      </c>
      <c r="J56" s="20">
        <v>1</v>
      </c>
      <c r="K56" s="20">
        <v>2352159</v>
      </c>
      <c r="L56" s="20">
        <v>5474.8</v>
      </c>
      <c r="M56" s="20">
        <v>430461</v>
      </c>
      <c r="N56" s="20">
        <v>2344.2809999999999</v>
      </c>
      <c r="O56" s="20">
        <v>52733</v>
      </c>
      <c r="P56" s="20">
        <v>1325.249</v>
      </c>
      <c r="Q56" s="20">
        <v>11532</v>
      </c>
      <c r="R56" s="20">
        <v>96460</v>
      </c>
      <c r="S56" s="20">
        <v>13</v>
      </c>
    </row>
    <row r="57" spans="1:19">
      <c r="A57" s="19" t="s">
        <v>10</v>
      </c>
      <c r="B57" s="20" t="s">
        <v>4</v>
      </c>
      <c r="C57" s="20" t="s">
        <v>5</v>
      </c>
      <c r="D57" s="20">
        <v>5</v>
      </c>
      <c r="E57" s="20">
        <v>3840</v>
      </c>
      <c r="F57" s="20">
        <v>2160</v>
      </c>
      <c r="G57" s="20">
        <v>390</v>
      </c>
      <c r="H57" s="20">
        <v>0.5</v>
      </c>
      <c r="I57" s="20">
        <f>Table14[[#This Row],[width_scalebar_mm]]/Table14[[#This Row],[width_scalebar_px]]</f>
        <v>1.2820512820512821E-3</v>
      </c>
      <c r="J57" s="20">
        <v>2</v>
      </c>
      <c r="K57" s="20">
        <v>1448874</v>
      </c>
      <c r="L57" s="20">
        <v>4294.5129999999999</v>
      </c>
      <c r="M57" s="20">
        <v>306438</v>
      </c>
      <c r="N57" s="20">
        <v>1979.4290000000001</v>
      </c>
      <c r="O57" s="20">
        <v>43468</v>
      </c>
      <c r="P57" s="20">
        <v>1064.7560000000001</v>
      </c>
      <c r="Q57" s="20">
        <v>66882</v>
      </c>
      <c r="R57" s="20">
        <v>53661</v>
      </c>
      <c r="S57" s="20">
        <v>13</v>
      </c>
    </row>
    <row r="58" spans="1:19">
      <c r="A58" s="19" t="s">
        <v>10</v>
      </c>
      <c r="B58" s="20" t="s">
        <v>4</v>
      </c>
      <c r="C58" s="20" t="s">
        <v>5</v>
      </c>
      <c r="D58" s="20">
        <v>6</v>
      </c>
      <c r="E58" s="20">
        <v>3840</v>
      </c>
      <c r="F58" s="20">
        <v>2160</v>
      </c>
      <c r="G58" s="20">
        <v>202</v>
      </c>
      <c r="H58" s="20">
        <v>0.2</v>
      </c>
      <c r="I58" s="20">
        <f>Table14[[#This Row],[width_scalebar_mm]]/Table14[[#This Row],[width_scalebar_px]]</f>
        <v>9.9009900990099011E-4</v>
      </c>
      <c r="J58" s="20">
        <v>3</v>
      </c>
      <c r="K58" s="20">
        <v>2733033</v>
      </c>
      <c r="L58" s="20">
        <v>5941.8019999999997</v>
      </c>
      <c r="M58" s="20">
        <v>629480</v>
      </c>
      <c r="N58" s="20">
        <v>2839.1590000000001</v>
      </c>
      <c r="O58" s="20">
        <v>100993</v>
      </c>
      <c r="P58" s="20">
        <v>1887.748</v>
      </c>
      <c r="Q58" s="20">
        <v>323799</v>
      </c>
      <c r="R58" s="20">
        <v>111085</v>
      </c>
      <c r="S58" s="20">
        <v>14</v>
      </c>
    </row>
    <row r="59" spans="1:19">
      <c r="A59" s="19" t="s">
        <v>10</v>
      </c>
      <c r="B59" s="20" t="s">
        <v>4</v>
      </c>
      <c r="C59" s="20" t="s">
        <v>5</v>
      </c>
      <c r="D59" s="20">
        <v>7</v>
      </c>
      <c r="E59" s="20">
        <v>3840</v>
      </c>
      <c r="F59" s="20">
        <v>2160</v>
      </c>
      <c r="G59" s="20">
        <v>449</v>
      </c>
      <c r="H59" s="20">
        <v>0.5</v>
      </c>
      <c r="I59" s="20">
        <f>Table14[[#This Row],[width_scalebar_mm]]/Table14[[#This Row],[width_scalebar_px]]</f>
        <v>1.1135857461024498E-3</v>
      </c>
      <c r="J59" s="20">
        <v>2</v>
      </c>
      <c r="K59" s="20">
        <v>2267283</v>
      </c>
      <c r="L59" s="20">
        <v>5375.924</v>
      </c>
      <c r="M59" s="20">
        <v>513643</v>
      </c>
      <c r="N59" s="20">
        <v>2561.915</v>
      </c>
      <c r="O59" s="20">
        <v>102130</v>
      </c>
      <c r="P59" s="20">
        <v>1755.54</v>
      </c>
      <c r="Q59" s="20">
        <v>55463</v>
      </c>
      <c r="R59" s="20">
        <v>89097</v>
      </c>
      <c r="S59" s="20">
        <v>15</v>
      </c>
    </row>
    <row r="60" spans="1:19">
      <c r="A60" s="19" t="s">
        <v>10</v>
      </c>
      <c r="B60" s="20" t="s">
        <v>4</v>
      </c>
      <c r="C60" s="20" t="s">
        <v>5</v>
      </c>
      <c r="D60" s="20">
        <v>8</v>
      </c>
      <c r="E60" s="20">
        <v>3840</v>
      </c>
      <c r="F60" s="20">
        <v>2160</v>
      </c>
      <c r="G60" s="20">
        <v>368</v>
      </c>
      <c r="H60" s="20">
        <v>0.5</v>
      </c>
      <c r="I60" s="20">
        <f>Table14[[#This Row],[width_scalebar_mm]]/Table14[[#This Row],[width_scalebar_px]]</f>
        <v>1.358695652173913E-3</v>
      </c>
      <c r="J60" s="20">
        <v>3</v>
      </c>
      <c r="K60" s="20">
        <v>1489698</v>
      </c>
      <c r="L60" s="20">
        <v>4361.5640000000003</v>
      </c>
      <c r="M60" s="20">
        <v>373256</v>
      </c>
      <c r="N60" s="20">
        <v>2188.0790000000002</v>
      </c>
      <c r="O60" s="20">
        <v>81590</v>
      </c>
      <c r="P60" s="20">
        <v>1271.308</v>
      </c>
      <c r="Q60" s="20">
        <v>145206</v>
      </c>
      <c r="R60" s="20">
        <v>66984</v>
      </c>
      <c r="S60" s="20">
        <v>15</v>
      </c>
    </row>
    <row r="61" spans="1:19">
      <c r="A61" s="19" t="s">
        <v>10</v>
      </c>
      <c r="B61" s="20" t="s">
        <v>4</v>
      </c>
      <c r="C61" s="20" t="s">
        <v>5</v>
      </c>
      <c r="D61" s="20">
        <v>9</v>
      </c>
      <c r="E61" s="20">
        <v>3840</v>
      </c>
      <c r="F61" s="20">
        <v>2160</v>
      </c>
      <c r="G61" s="20">
        <v>397</v>
      </c>
      <c r="H61" s="20">
        <v>0.5</v>
      </c>
      <c r="I61" s="20">
        <f>Table14[[#This Row],[width_scalebar_mm]]/Table14[[#This Row],[width_scalebar_px]]</f>
        <v>1.2594458438287153E-3</v>
      </c>
      <c r="J61" s="20">
        <v>4</v>
      </c>
      <c r="K61" s="20">
        <v>2133216</v>
      </c>
      <c r="L61" s="20">
        <v>6459.558</v>
      </c>
      <c r="M61" s="20">
        <v>550755</v>
      </c>
      <c r="N61" s="20">
        <v>2648.884</v>
      </c>
      <c r="O61" s="20">
        <v>150351</v>
      </c>
      <c r="P61" s="20">
        <v>2025.2629999999999</v>
      </c>
      <c r="Q61" s="20" t="s">
        <v>287</v>
      </c>
      <c r="R61" s="20">
        <v>55932</v>
      </c>
      <c r="S61" s="20">
        <v>15</v>
      </c>
    </row>
    <row r="62" spans="1:19">
      <c r="A62" s="27" t="s">
        <v>11</v>
      </c>
      <c r="B62" s="28" t="s">
        <v>4</v>
      </c>
      <c r="C62" s="28" t="s">
        <v>8</v>
      </c>
      <c r="D62" s="28">
        <v>1</v>
      </c>
      <c r="E62" s="28">
        <v>3840</v>
      </c>
      <c r="F62" s="28">
        <v>2160</v>
      </c>
      <c r="G62" s="28">
        <v>203</v>
      </c>
      <c r="H62" s="28">
        <v>0.2</v>
      </c>
      <c r="I62" s="28">
        <f>Table14[[#This Row],[width_scalebar_mm]]/Table14[[#This Row],[width_scalebar_px]]</f>
        <v>9.8522167487684743E-4</v>
      </c>
      <c r="J62" s="28">
        <v>0</v>
      </c>
      <c r="K62" s="28">
        <v>680119</v>
      </c>
      <c r="L62" s="28">
        <v>3008.6579999999999</v>
      </c>
      <c r="M62" s="28">
        <v>77139</v>
      </c>
      <c r="N62" s="28">
        <v>1013.722</v>
      </c>
      <c r="O62" s="28">
        <v>2318</v>
      </c>
      <c r="P62" s="28">
        <v>180.732</v>
      </c>
      <c r="Q62" s="28">
        <v>0</v>
      </c>
      <c r="R62" s="28">
        <v>22518</v>
      </c>
      <c r="S62" s="28">
        <v>5</v>
      </c>
    </row>
    <row r="63" spans="1:19">
      <c r="A63" s="27" t="s">
        <v>11</v>
      </c>
      <c r="B63" s="28" t="s">
        <v>4</v>
      </c>
      <c r="C63" s="28" t="s">
        <v>8</v>
      </c>
      <c r="D63" s="28">
        <v>2</v>
      </c>
      <c r="E63" s="28">
        <v>3840</v>
      </c>
      <c r="F63" s="28">
        <v>2160</v>
      </c>
      <c r="G63" s="28">
        <v>464</v>
      </c>
      <c r="H63" s="28">
        <v>0.5</v>
      </c>
      <c r="I63" s="28">
        <f>Table14[[#This Row],[width_scalebar_mm]]/Table14[[#This Row],[width_scalebar_px]]</f>
        <v>1.0775862068965517E-3</v>
      </c>
      <c r="J63" s="28">
        <v>0</v>
      </c>
      <c r="K63" s="28">
        <v>669826</v>
      </c>
      <c r="L63" s="28">
        <v>3401.7860000000001</v>
      </c>
      <c r="M63" s="28">
        <v>74100</v>
      </c>
      <c r="N63" s="28">
        <v>1056.462</v>
      </c>
      <c r="O63" s="28">
        <v>3155</v>
      </c>
      <c r="P63" s="28">
        <v>218.839</v>
      </c>
      <c r="Q63" s="28">
        <v>0</v>
      </c>
      <c r="R63" s="28">
        <v>16143</v>
      </c>
      <c r="S63" s="28">
        <v>5</v>
      </c>
    </row>
    <row r="64" spans="1:19">
      <c r="A64" s="27" t="s">
        <v>11</v>
      </c>
      <c r="B64" s="28" t="s">
        <v>4</v>
      </c>
      <c r="C64" s="28" t="s">
        <v>8</v>
      </c>
      <c r="D64" s="28">
        <v>3</v>
      </c>
      <c r="E64" s="28">
        <v>3840</v>
      </c>
      <c r="F64" s="28">
        <v>2160</v>
      </c>
      <c r="G64" s="28">
        <v>200</v>
      </c>
      <c r="H64" s="28">
        <v>0.2</v>
      </c>
      <c r="I64" s="28">
        <f>Table14[[#This Row],[width_scalebar_mm]]/Table14[[#This Row],[width_scalebar_px]]</f>
        <v>1E-3</v>
      </c>
      <c r="J64" s="28">
        <v>0</v>
      </c>
      <c r="K64" s="28">
        <v>693422</v>
      </c>
      <c r="L64" s="28">
        <v>3065.4090000000001</v>
      </c>
      <c r="M64" s="28">
        <v>115647</v>
      </c>
      <c r="N64" s="28">
        <v>1224.2380000000001</v>
      </c>
      <c r="O64" s="28">
        <v>5563</v>
      </c>
      <c r="P64" s="28">
        <v>365.161</v>
      </c>
      <c r="Q64" s="28">
        <v>0</v>
      </c>
      <c r="R64" s="28">
        <v>23867</v>
      </c>
      <c r="S64" s="28">
        <v>5</v>
      </c>
    </row>
    <row r="65" spans="1:19">
      <c r="A65" s="27" t="s">
        <v>11</v>
      </c>
      <c r="B65" s="28" t="s">
        <v>4</v>
      </c>
      <c r="C65" s="28" t="s">
        <v>8</v>
      </c>
      <c r="D65" s="28">
        <v>4</v>
      </c>
      <c r="E65" s="28">
        <v>3840</v>
      </c>
      <c r="F65" s="28">
        <v>2160</v>
      </c>
      <c r="G65" s="28">
        <v>458</v>
      </c>
      <c r="H65" s="28">
        <v>0.5</v>
      </c>
      <c r="I65" s="28">
        <f>Table14[[#This Row],[width_scalebar_mm]]/Table14[[#This Row],[width_scalebar_px]]</f>
        <v>1.0917030567685589E-3</v>
      </c>
      <c r="J65" s="28">
        <v>0</v>
      </c>
      <c r="K65" s="28">
        <v>603833</v>
      </c>
      <c r="L65" s="28">
        <v>2915.2240000000002</v>
      </c>
      <c r="M65" s="28">
        <v>108747</v>
      </c>
      <c r="N65" s="28">
        <v>1184.9549999999999</v>
      </c>
      <c r="O65" s="28">
        <v>3732</v>
      </c>
      <c r="P65" s="28">
        <v>325.94799999999998</v>
      </c>
      <c r="Q65" s="28">
        <v>0</v>
      </c>
      <c r="R65" s="28">
        <v>19955</v>
      </c>
      <c r="S65" s="28">
        <v>5</v>
      </c>
    </row>
    <row r="66" spans="1:19">
      <c r="A66" s="27" t="s">
        <v>11</v>
      </c>
      <c r="B66" s="28" t="s">
        <v>4</v>
      </c>
      <c r="C66" s="28" t="s">
        <v>8</v>
      </c>
      <c r="D66" s="28">
        <v>5</v>
      </c>
      <c r="E66" s="28">
        <v>3840</v>
      </c>
      <c r="F66" s="28">
        <v>2160</v>
      </c>
      <c r="G66" s="28">
        <v>420</v>
      </c>
      <c r="H66" s="28">
        <v>0.5</v>
      </c>
      <c r="I66" s="28">
        <f>Table14[[#This Row],[width_scalebar_mm]]/Table14[[#This Row],[width_scalebar_px]]</f>
        <v>1.1904761904761906E-3</v>
      </c>
      <c r="J66" s="28">
        <v>2</v>
      </c>
      <c r="K66" s="28">
        <v>778574</v>
      </c>
      <c r="L66" s="28">
        <v>3156.3589999999999</v>
      </c>
      <c r="M66" s="28">
        <v>111144</v>
      </c>
      <c r="N66" s="28">
        <v>1197.0139999999999</v>
      </c>
      <c r="O66" s="28">
        <v>6837</v>
      </c>
      <c r="P66" s="28">
        <v>386.375</v>
      </c>
      <c r="Q66" s="28">
        <v>28689</v>
      </c>
      <c r="R66" s="28">
        <v>26777</v>
      </c>
      <c r="S66" s="28">
        <v>7</v>
      </c>
    </row>
    <row r="67" spans="1:19">
      <c r="A67" s="27" t="s">
        <v>11</v>
      </c>
      <c r="B67" s="28" t="s">
        <v>4</v>
      </c>
      <c r="C67" s="28" t="s">
        <v>8</v>
      </c>
      <c r="D67" s="28">
        <v>6</v>
      </c>
      <c r="E67" s="28">
        <v>3840</v>
      </c>
      <c r="F67" s="28">
        <v>2160</v>
      </c>
      <c r="G67" s="28">
        <v>458</v>
      </c>
      <c r="H67" s="28">
        <v>0.5</v>
      </c>
      <c r="I67" s="28">
        <f>Table14[[#This Row],[width_scalebar_mm]]/Table14[[#This Row],[width_scalebar_px]]</f>
        <v>1.0917030567685589E-3</v>
      </c>
      <c r="J67" s="28">
        <v>3</v>
      </c>
      <c r="K67" s="28">
        <v>714093</v>
      </c>
      <c r="L67" s="28">
        <v>3121.9929999999999</v>
      </c>
      <c r="M67" s="28">
        <v>114678</v>
      </c>
      <c r="N67" s="28">
        <v>1219.5930000000001</v>
      </c>
      <c r="O67" s="28">
        <v>5925</v>
      </c>
      <c r="P67" s="28">
        <v>409.00200000000001</v>
      </c>
      <c r="Q67" s="28">
        <v>53149</v>
      </c>
      <c r="R67" s="28">
        <v>27306</v>
      </c>
      <c r="S67" s="28">
        <v>9</v>
      </c>
    </row>
    <row r="68" spans="1:19">
      <c r="A68" s="27" t="s">
        <v>11</v>
      </c>
      <c r="B68" s="28" t="s">
        <v>4</v>
      </c>
      <c r="C68" s="28" t="s">
        <v>8</v>
      </c>
      <c r="D68" s="28">
        <v>7</v>
      </c>
      <c r="E68" s="28">
        <v>3840</v>
      </c>
      <c r="F68" s="28">
        <v>2160</v>
      </c>
      <c r="G68" s="28">
        <v>200</v>
      </c>
      <c r="H68" s="28">
        <v>0.2</v>
      </c>
      <c r="I68" s="28">
        <f>Table14[[#This Row],[width_scalebar_mm]]/Table14[[#This Row],[width_scalebar_px]]</f>
        <v>1E-3</v>
      </c>
      <c r="J68" s="28">
        <v>3</v>
      </c>
      <c r="K68" s="28">
        <v>979046</v>
      </c>
      <c r="L68" s="28">
        <v>3809.95</v>
      </c>
      <c r="M68" s="28">
        <v>159849</v>
      </c>
      <c r="N68" s="28">
        <v>1445.931</v>
      </c>
      <c r="O68" s="28">
        <v>9647</v>
      </c>
      <c r="P68" s="28">
        <v>357.36900000000003</v>
      </c>
      <c r="Q68" s="28">
        <v>38069</v>
      </c>
      <c r="R68" s="28">
        <v>36660</v>
      </c>
      <c r="S68" s="28">
        <v>10</v>
      </c>
    </row>
    <row r="69" spans="1:19">
      <c r="A69" s="27" t="s">
        <v>11</v>
      </c>
      <c r="B69" s="28" t="s">
        <v>4</v>
      </c>
      <c r="C69" s="28" t="s">
        <v>8</v>
      </c>
      <c r="D69" s="28">
        <v>8</v>
      </c>
      <c r="E69" s="28">
        <v>3840</v>
      </c>
      <c r="F69" s="28">
        <v>2160</v>
      </c>
      <c r="G69" s="28">
        <v>442</v>
      </c>
      <c r="H69" s="28">
        <v>0.5</v>
      </c>
      <c r="I69" s="28">
        <f>Table14[[#This Row],[width_scalebar_mm]]/Table14[[#This Row],[width_scalebar_px]]</f>
        <v>1.1312217194570137E-3</v>
      </c>
      <c r="J69" s="28">
        <v>2</v>
      </c>
      <c r="K69" s="28">
        <v>887895</v>
      </c>
      <c r="L69" s="28">
        <v>3375.9079999999999</v>
      </c>
      <c r="M69" s="28">
        <v>155307</v>
      </c>
      <c r="N69" s="28">
        <v>1417.2570000000001</v>
      </c>
      <c r="O69" s="28">
        <v>12164</v>
      </c>
      <c r="P69" s="28">
        <v>693.43600000000004</v>
      </c>
      <c r="Q69" s="28">
        <v>60818</v>
      </c>
      <c r="R69" s="28">
        <v>35098</v>
      </c>
      <c r="S69" s="28">
        <v>10</v>
      </c>
    </row>
    <row r="70" spans="1:19">
      <c r="A70" s="27" t="s">
        <v>11</v>
      </c>
      <c r="B70" s="28" t="s">
        <v>4</v>
      </c>
      <c r="C70" s="28" t="s">
        <v>8</v>
      </c>
      <c r="D70" s="28">
        <v>9</v>
      </c>
      <c r="E70" s="28">
        <v>3840</v>
      </c>
      <c r="F70" s="28">
        <v>2160</v>
      </c>
      <c r="G70" s="28">
        <v>441</v>
      </c>
      <c r="H70" s="28">
        <v>0.5</v>
      </c>
      <c r="I70" s="28">
        <f>Table14[[#This Row],[width_scalebar_mm]]/Table14[[#This Row],[width_scalebar_px]]</f>
        <v>1.1337868480725624E-3</v>
      </c>
      <c r="J70" s="28">
        <v>2</v>
      </c>
      <c r="K70" s="28">
        <v>1003146</v>
      </c>
      <c r="L70" s="28">
        <v>3644.8380000000002</v>
      </c>
      <c r="M70" s="28">
        <v>149787</v>
      </c>
      <c r="N70" s="28">
        <v>1388.586</v>
      </c>
      <c r="O70" s="28">
        <v>11334</v>
      </c>
      <c r="P70" s="28">
        <v>532.6</v>
      </c>
      <c r="Q70" s="28">
        <v>40303</v>
      </c>
      <c r="R70" s="28">
        <v>29957</v>
      </c>
      <c r="S70" s="28">
        <v>10</v>
      </c>
    </row>
    <row r="71" spans="1:19">
      <c r="A71" s="27" t="s">
        <v>11</v>
      </c>
      <c r="B71" s="28" t="s">
        <v>4</v>
      </c>
      <c r="C71" s="28" t="s">
        <v>8</v>
      </c>
      <c r="D71" s="28">
        <v>10</v>
      </c>
      <c r="E71" s="28">
        <v>3840</v>
      </c>
      <c r="F71" s="28">
        <v>2160</v>
      </c>
      <c r="G71" s="28">
        <v>438</v>
      </c>
      <c r="H71" s="28">
        <v>0.5</v>
      </c>
      <c r="I71" s="28">
        <f>Table14[[#This Row],[width_scalebar_mm]]/Table14[[#This Row],[width_scalebar_px]]</f>
        <v>1.1415525114155251E-3</v>
      </c>
      <c r="J71" s="28">
        <v>3</v>
      </c>
      <c r="K71" s="28">
        <v>992310</v>
      </c>
      <c r="L71" s="28">
        <v>3591.5349999999999</v>
      </c>
      <c r="M71" s="28">
        <v>158049</v>
      </c>
      <c r="N71" s="28">
        <v>1426.5350000000001</v>
      </c>
      <c r="O71" s="28">
        <v>11875</v>
      </c>
      <c r="P71" s="28">
        <v>544.399</v>
      </c>
      <c r="Q71" s="28">
        <v>86226</v>
      </c>
      <c r="R71" s="28">
        <v>31602</v>
      </c>
      <c r="S71" s="28">
        <v>10</v>
      </c>
    </row>
    <row r="72" spans="1:19">
      <c r="A72" s="27" t="s">
        <v>11</v>
      </c>
      <c r="B72" s="28" t="s">
        <v>4</v>
      </c>
      <c r="C72" s="28" t="s">
        <v>8</v>
      </c>
      <c r="D72" s="28">
        <v>11</v>
      </c>
      <c r="E72" s="28">
        <v>3840</v>
      </c>
      <c r="F72" s="28">
        <v>2160</v>
      </c>
      <c r="G72" s="28">
        <v>453</v>
      </c>
      <c r="H72" s="28">
        <v>0.5</v>
      </c>
      <c r="I72" s="28">
        <f>Table14[[#This Row],[width_scalebar_mm]]/Table14[[#This Row],[width_scalebar_px]]</f>
        <v>1.1037527593818985E-3</v>
      </c>
      <c r="J72" s="28">
        <v>4</v>
      </c>
      <c r="K72" s="28">
        <v>1066230</v>
      </c>
      <c r="L72" s="28">
        <v>3689.2640000000001</v>
      </c>
      <c r="M72" s="28">
        <v>192333</v>
      </c>
      <c r="N72" s="28">
        <v>1572.954</v>
      </c>
      <c r="O72" s="28">
        <v>14963</v>
      </c>
      <c r="P72" s="28">
        <v>610.92600000000004</v>
      </c>
      <c r="Q72" s="28">
        <v>136552</v>
      </c>
      <c r="R72" s="28">
        <v>35798</v>
      </c>
      <c r="S72" s="28">
        <v>10</v>
      </c>
    </row>
    <row r="73" spans="1:19">
      <c r="A73" s="27" t="s">
        <v>11</v>
      </c>
      <c r="B73" s="28" t="s">
        <v>4</v>
      </c>
      <c r="C73" s="28" t="s">
        <v>8</v>
      </c>
      <c r="D73" s="28">
        <v>12</v>
      </c>
      <c r="E73" s="28">
        <v>3840</v>
      </c>
      <c r="F73" s="28">
        <v>2160</v>
      </c>
      <c r="G73" s="28">
        <v>462</v>
      </c>
      <c r="H73" s="28">
        <v>0.5</v>
      </c>
      <c r="I73" s="28">
        <f>Table14[[#This Row],[width_scalebar_mm]]/Table14[[#This Row],[width_scalebar_px]]</f>
        <v>1.0822510822510823E-3</v>
      </c>
      <c r="J73" s="28">
        <v>2</v>
      </c>
      <c r="K73" s="28">
        <v>1210545</v>
      </c>
      <c r="L73" s="28">
        <v>3923.8969999999999</v>
      </c>
      <c r="M73" s="28">
        <v>234996</v>
      </c>
      <c r="N73" s="28">
        <v>1737.1569999999999</v>
      </c>
      <c r="O73" s="28">
        <v>20024</v>
      </c>
      <c r="P73" s="28">
        <v>738.80799999999999</v>
      </c>
      <c r="Q73" s="28">
        <v>64234</v>
      </c>
      <c r="R73" s="28">
        <v>48457</v>
      </c>
      <c r="S73" s="28">
        <v>11</v>
      </c>
    </row>
    <row r="74" spans="1:19">
      <c r="A74" s="27" t="s">
        <v>11</v>
      </c>
      <c r="B74" s="28" t="s">
        <v>4</v>
      </c>
      <c r="C74" s="28" t="s">
        <v>8</v>
      </c>
      <c r="D74" s="28">
        <v>13</v>
      </c>
      <c r="E74" s="28">
        <v>3840</v>
      </c>
      <c r="F74" s="28">
        <v>2160</v>
      </c>
      <c r="G74" s="28">
        <v>433</v>
      </c>
      <c r="H74" s="28">
        <v>0.5</v>
      </c>
      <c r="I74" s="28">
        <f>Table14[[#This Row],[width_scalebar_mm]]/Table14[[#This Row],[width_scalebar_px]]</f>
        <v>1.1547344110854503E-3</v>
      </c>
      <c r="J74" s="28">
        <v>2</v>
      </c>
      <c r="K74" s="28">
        <v>1055337</v>
      </c>
      <c r="L74" s="28">
        <v>3697.7669999999998</v>
      </c>
      <c r="M74" s="28">
        <v>226425</v>
      </c>
      <c r="N74" s="28">
        <v>1706.98</v>
      </c>
      <c r="O74" s="28">
        <v>28791</v>
      </c>
      <c r="P74" s="28">
        <v>622.65800000000002</v>
      </c>
      <c r="Q74" s="28">
        <v>8737</v>
      </c>
      <c r="R74" s="28">
        <v>32174</v>
      </c>
      <c r="S74" s="28">
        <v>12</v>
      </c>
    </row>
    <row r="75" spans="1:19">
      <c r="A75" s="27" t="s">
        <v>11</v>
      </c>
      <c r="B75" s="28" t="s">
        <v>4</v>
      </c>
      <c r="C75" s="28" t="s">
        <v>8</v>
      </c>
      <c r="D75" s="28">
        <v>14</v>
      </c>
      <c r="E75" s="28">
        <v>3840</v>
      </c>
      <c r="F75" s="28">
        <v>2160</v>
      </c>
      <c r="G75" s="28">
        <v>400</v>
      </c>
      <c r="H75" s="28">
        <v>0.5</v>
      </c>
      <c r="I75" s="28">
        <f>Table14[[#This Row],[width_scalebar_mm]]/Table14[[#This Row],[width_scalebar_px]]</f>
        <v>1.25E-3</v>
      </c>
      <c r="J75" s="28">
        <v>2</v>
      </c>
      <c r="K75" s="28">
        <v>970191</v>
      </c>
      <c r="L75" s="28">
        <v>3519.4340000000002</v>
      </c>
      <c r="M75" s="28">
        <v>205563</v>
      </c>
      <c r="N75" s="28">
        <v>1625.2629999999999</v>
      </c>
      <c r="O75" s="28">
        <v>25716</v>
      </c>
      <c r="P75" s="28">
        <v>1071.5260000000001</v>
      </c>
      <c r="Q75" s="28">
        <v>17324</v>
      </c>
      <c r="R75" s="28">
        <v>42723</v>
      </c>
      <c r="S75" s="28">
        <v>13</v>
      </c>
    </row>
    <row r="76" spans="1:19">
      <c r="A76" s="27" t="s">
        <v>11</v>
      </c>
      <c r="B76" s="28" t="s">
        <v>4</v>
      </c>
      <c r="C76" s="28" t="s">
        <v>8</v>
      </c>
      <c r="D76" s="28">
        <v>15</v>
      </c>
      <c r="E76" s="28">
        <v>3840</v>
      </c>
      <c r="F76" s="28">
        <v>2160</v>
      </c>
      <c r="G76" s="28">
        <v>454</v>
      </c>
      <c r="H76" s="28">
        <v>0.5</v>
      </c>
      <c r="I76" s="28">
        <f>Table14[[#This Row],[width_scalebar_mm]]/Table14[[#This Row],[width_scalebar_px]]</f>
        <v>1.1013215859030838E-3</v>
      </c>
      <c r="J76" s="28">
        <v>1</v>
      </c>
      <c r="K76" s="28">
        <v>1479993</v>
      </c>
      <c r="L76" s="28">
        <v>4339.5600000000004</v>
      </c>
      <c r="M76" s="28">
        <v>334305</v>
      </c>
      <c r="N76" s="28">
        <v>2072.4899999999998</v>
      </c>
      <c r="O76" s="28">
        <v>48178</v>
      </c>
      <c r="P76" s="28">
        <v>1694.5940000000001</v>
      </c>
      <c r="Q76" s="28">
        <v>34478</v>
      </c>
      <c r="R76" s="28">
        <v>61674</v>
      </c>
      <c r="S76" s="28">
        <v>13</v>
      </c>
    </row>
    <row r="77" spans="1:19">
      <c r="A77" s="27" t="s">
        <v>11</v>
      </c>
      <c r="B77" s="28" t="s">
        <v>4</v>
      </c>
      <c r="C77" s="28" t="s">
        <v>8</v>
      </c>
      <c r="D77" s="28">
        <v>16</v>
      </c>
      <c r="E77" s="28">
        <v>3840</v>
      </c>
      <c r="F77" s="28">
        <v>2160</v>
      </c>
      <c r="G77" s="28">
        <v>449</v>
      </c>
      <c r="H77" s="28">
        <v>0.5</v>
      </c>
      <c r="I77" s="28">
        <f>Table14[[#This Row],[width_scalebar_mm]]/Table14[[#This Row],[width_scalebar_px]]</f>
        <v>1.1135857461024498E-3</v>
      </c>
      <c r="J77" s="28">
        <v>4</v>
      </c>
      <c r="K77" s="28">
        <v>1551537</v>
      </c>
      <c r="L77" s="28">
        <v>4460.4880000000003</v>
      </c>
      <c r="M77" s="28">
        <v>367767</v>
      </c>
      <c r="N77" s="28">
        <v>2172.96</v>
      </c>
      <c r="O77" s="28">
        <v>61534</v>
      </c>
      <c r="P77" s="28">
        <v>1730.8779999999999</v>
      </c>
      <c r="Q77" s="28">
        <v>74452</v>
      </c>
      <c r="R77" s="28">
        <v>60884</v>
      </c>
      <c r="S77" s="28">
        <v>13</v>
      </c>
    </row>
    <row r="78" spans="1:19">
      <c r="A78" s="27" t="s">
        <v>11</v>
      </c>
      <c r="B78" s="28" t="s">
        <v>4</v>
      </c>
      <c r="C78" s="28" t="s">
        <v>8</v>
      </c>
      <c r="D78" s="28">
        <v>17</v>
      </c>
      <c r="E78" s="28">
        <v>3840</v>
      </c>
      <c r="F78" s="28">
        <v>2160</v>
      </c>
      <c r="G78" s="28">
        <v>439</v>
      </c>
      <c r="H78" s="28">
        <v>0.5</v>
      </c>
      <c r="I78" s="28">
        <f>Table14[[#This Row],[width_scalebar_mm]]/Table14[[#This Row],[width_scalebar_px]]</f>
        <v>1.1389521640091116E-3</v>
      </c>
      <c r="J78" s="28">
        <v>0</v>
      </c>
      <c r="K78" s="28">
        <v>2000220</v>
      </c>
      <c r="L78" s="28">
        <v>5052.9390000000003</v>
      </c>
      <c r="M78" s="28">
        <v>464898</v>
      </c>
      <c r="N78" s="28">
        <v>2441.9949999999999</v>
      </c>
      <c r="O78" s="28">
        <v>117866</v>
      </c>
      <c r="P78" s="28">
        <v>2137.8389999999999</v>
      </c>
      <c r="Q78" s="28">
        <v>0</v>
      </c>
      <c r="R78" s="28">
        <v>62414</v>
      </c>
      <c r="S78" s="28">
        <v>13</v>
      </c>
    </row>
    <row r="79" spans="1:19">
      <c r="A79" s="27" t="s">
        <v>11</v>
      </c>
      <c r="B79" s="28" t="s">
        <v>4</v>
      </c>
      <c r="C79" s="28" t="s">
        <v>8</v>
      </c>
      <c r="D79" s="28">
        <v>18</v>
      </c>
      <c r="E79" s="28">
        <v>3840</v>
      </c>
      <c r="F79" s="28">
        <v>2160</v>
      </c>
      <c r="G79" s="28">
        <v>252</v>
      </c>
      <c r="H79" s="28">
        <v>0.5</v>
      </c>
      <c r="I79" s="28">
        <f>Table14[[#This Row],[width_scalebar_mm]]/Table14[[#This Row],[width_scalebar_px]]</f>
        <v>1.984126984126984E-3</v>
      </c>
      <c r="J79" s="28">
        <v>0</v>
      </c>
      <c r="K79" s="28">
        <v>1019862</v>
      </c>
      <c r="L79" s="28">
        <v>3598.835</v>
      </c>
      <c r="M79" s="28">
        <v>255080</v>
      </c>
      <c r="N79" s="28">
        <v>1799.636</v>
      </c>
      <c r="O79" s="28">
        <v>86459</v>
      </c>
      <c r="P79" s="28">
        <v>1929.8979999999999</v>
      </c>
      <c r="Q79" s="28">
        <v>0</v>
      </c>
      <c r="R79" s="28">
        <v>30345</v>
      </c>
      <c r="S79" s="28">
        <v>16</v>
      </c>
    </row>
    <row r="80" spans="1:19">
      <c r="A80" s="19" t="s">
        <v>12</v>
      </c>
      <c r="B80" s="20" t="s">
        <v>4</v>
      </c>
      <c r="C80" s="20" t="s">
        <v>8</v>
      </c>
      <c r="D80" s="20">
        <v>1</v>
      </c>
      <c r="E80" s="20">
        <v>3840</v>
      </c>
      <c r="F80" s="20">
        <v>2160</v>
      </c>
      <c r="G80" s="20">
        <v>355</v>
      </c>
      <c r="H80" s="20">
        <v>0.5</v>
      </c>
      <c r="I80" s="20">
        <f>Table14[[#This Row],[width_scalebar_mm]]/Table14[[#This Row],[width_scalebar_px]]</f>
        <v>1.4084507042253522E-3</v>
      </c>
      <c r="J80" s="20">
        <v>0</v>
      </c>
      <c r="K80" s="20">
        <v>232415</v>
      </c>
      <c r="L80" s="20">
        <v>1777.9059999999999</v>
      </c>
      <c r="M80" s="20">
        <v>34601</v>
      </c>
      <c r="N80" s="20">
        <v>673.3</v>
      </c>
      <c r="O80" s="20">
        <v>870</v>
      </c>
      <c r="P80" s="20">
        <v>147.92400000000001</v>
      </c>
      <c r="Q80" s="20">
        <v>0</v>
      </c>
      <c r="R80" s="20">
        <v>8074</v>
      </c>
      <c r="S80" s="20">
        <v>6</v>
      </c>
    </row>
    <row r="81" spans="1:19">
      <c r="A81" s="19" t="s">
        <v>12</v>
      </c>
      <c r="B81" s="20" t="s">
        <v>4</v>
      </c>
      <c r="C81" s="20" t="s">
        <v>8</v>
      </c>
      <c r="D81" s="20">
        <v>2</v>
      </c>
      <c r="E81" s="20">
        <v>3840</v>
      </c>
      <c r="F81" s="20">
        <v>2160</v>
      </c>
      <c r="G81" s="20">
        <v>454</v>
      </c>
      <c r="H81" s="20">
        <v>0.5</v>
      </c>
      <c r="I81" s="20">
        <f>Table14[[#This Row],[width_scalebar_mm]]/Table14[[#This Row],[width_scalebar_px]]</f>
        <v>1.1013215859030838E-3</v>
      </c>
      <c r="J81" s="20">
        <v>0</v>
      </c>
      <c r="K81" s="20">
        <v>326403</v>
      </c>
      <c r="L81" s="20">
        <v>2368.8029999999999</v>
      </c>
      <c r="M81" s="20">
        <v>89313</v>
      </c>
      <c r="N81" s="20">
        <v>1075.425</v>
      </c>
      <c r="O81" s="20">
        <v>2536</v>
      </c>
      <c r="P81" s="20">
        <v>266.59300000000002</v>
      </c>
      <c r="Q81" s="20">
        <v>0</v>
      </c>
      <c r="R81" s="20">
        <v>19122</v>
      </c>
      <c r="S81" s="20">
        <v>6</v>
      </c>
    </row>
    <row r="82" spans="1:19">
      <c r="A82" s="19" t="s">
        <v>12</v>
      </c>
      <c r="B82" s="20" t="s">
        <v>4</v>
      </c>
      <c r="C82" s="20" t="s">
        <v>8</v>
      </c>
      <c r="D82" s="20">
        <v>3</v>
      </c>
      <c r="E82" s="20">
        <v>3840</v>
      </c>
      <c r="F82" s="20">
        <v>2160</v>
      </c>
      <c r="G82" s="20">
        <v>210</v>
      </c>
      <c r="H82" s="20">
        <v>0.2</v>
      </c>
      <c r="I82" s="20">
        <f>Table14[[#This Row],[width_scalebar_mm]]/Table14[[#This Row],[width_scalebar_px]]</f>
        <v>9.5238095238095238E-4</v>
      </c>
      <c r="J82" s="20">
        <v>2</v>
      </c>
      <c r="K82" s="20">
        <v>498648</v>
      </c>
      <c r="L82" s="20">
        <v>2850.1550000000002</v>
      </c>
      <c r="M82" s="20">
        <v>122110</v>
      </c>
      <c r="N82" s="20">
        <v>1257.7470000000001</v>
      </c>
      <c r="O82" s="20">
        <v>5209</v>
      </c>
      <c r="P82" s="20">
        <v>379.44600000000003</v>
      </c>
      <c r="Q82" s="20">
        <v>20372</v>
      </c>
      <c r="R82" s="20">
        <v>26184</v>
      </c>
      <c r="S82" s="20">
        <v>6</v>
      </c>
    </row>
    <row r="83" spans="1:19">
      <c r="A83" s="19" t="s">
        <v>12</v>
      </c>
      <c r="B83" s="20" t="s">
        <v>4</v>
      </c>
      <c r="C83" s="20" t="s">
        <v>8</v>
      </c>
      <c r="D83" s="20">
        <v>4</v>
      </c>
      <c r="E83" s="20">
        <v>3840</v>
      </c>
      <c r="F83" s="20">
        <v>2160</v>
      </c>
      <c r="G83" s="20">
        <v>462</v>
      </c>
      <c r="H83" s="20">
        <v>0.5</v>
      </c>
      <c r="I83" s="20">
        <f>Table14[[#This Row],[width_scalebar_mm]]/Table14[[#This Row],[width_scalebar_px]]</f>
        <v>1.0822510822510823E-3</v>
      </c>
      <c r="J83" s="20">
        <v>1</v>
      </c>
      <c r="K83" s="20">
        <v>527728</v>
      </c>
      <c r="L83" s="20">
        <v>2715.1</v>
      </c>
      <c r="M83" s="20">
        <v>140400</v>
      </c>
      <c r="N83" s="20">
        <v>1344.742</v>
      </c>
      <c r="O83" s="20">
        <v>9197</v>
      </c>
      <c r="P83" s="20">
        <v>481.286</v>
      </c>
      <c r="Q83" s="20">
        <v>21886</v>
      </c>
      <c r="R83" s="20">
        <v>28448</v>
      </c>
      <c r="S83" s="20">
        <v>8</v>
      </c>
    </row>
    <row r="84" spans="1:19">
      <c r="A84" s="19" t="s">
        <v>12</v>
      </c>
      <c r="B84" s="20" t="s">
        <v>4</v>
      </c>
      <c r="C84" s="20" t="s">
        <v>8</v>
      </c>
      <c r="D84" s="20">
        <v>5</v>
      </c>
      <c r="E84" s="20">
        <v>3840</v>
      </c>
      <c r="F84" s="20">
        <v>2160</v>
      </c>
      <c r="G84" s="20">
        <v>465</v>
      </c>
      <c r="H84" s="20">
        <v>0.5</v>
      </c>
      <c r="I84" s="20">
        <f>Table14[[#This Row],[width_scalebar_mm]]/Table14[[#This Row],[width_scalebar_px]]</f>
        <v>1.0752688172043011E-3</v>
      </c>
      <c r="J84" s="20">
        <v>3</v>
      </c>
      <c r="K84" s="20">
        <v>664602</v>
      </c>
      <c r="L84" s="20">
        <v>3090.2640000000001</v>
      </c>
      <c r="M84" s="20">
        <v>186498</v>
      </c>
      <c r="N84" s="20">
        <v>1543.9359999999999</v>
      </c>
      <c r="O84" s="20">
        <v>11117</v>
      </c>
      <c r="P84" s="20">
        <v>568.88400000000001</v>
      </c>
      <c r="Q84" s="20">
        <v>105503</v>
      </c>
      <c r="R84" s="20">
        <v>41522</v>
      </c>
      <c r="S84" s="20">
        <v>9</v>
      </c>
    </row>
    <row r="85" spans="1:19">
      <c r="A85" s="19" t="s">
        <v>12</v>
      </c>
      <c r="B85" s="20" t="s">
        <v>4</v>
      </c>
      <c r="C85" s="20" t="s">
        <v>8</v>
      </c>
      <c r="D85" s="20">
        <v>6</v>
      </c>
      <c r="E85" s="20">
        <v>3840</v>
      </c>
      <c r="F85" s="20">
        <v>2160</v>
      </c>
      <c r="G85" s="20">
        <v>195</v>
      </c>
      <c r="H85" s="20">
        <v>0.2</v>
      </c>
      <c r="I85" s="20">
        <f>Table14[[#This Row],[width_scalebar_mm]]/Table14[[#This Row],[width_scalebar_px]]</f>
        <v>1.0256410256410256E-3</v>
      </c>
      <c r="J85" s="20">
        <v>2</v>
      </c>
      <c r="K85" s="20">
        <v>969291</v>
      </c>
      <c r="L85" s="20">
        <v>3697.3380000000002</v>
      </c>
      <c r="M85" s="20">
        <v>209803</v>
      </c>
      <c r="N85" s="20">
        <v>1639.896</v>
      </c>
      <c r="O85" s="20">
        <v>11236</v>
      </c>
      <c r="P85" s="20">
        <v>544.58299999999997</v>
      </c>
      <c r="Q85" s="20">
        <v>94945</v>
      </c>
      <c r="R85" s="20">
        <v>40962</v>
      </c>
      <c r="S85" s="20">
        <v>9</v>
      </c>
    </row>
    <row r="86" spans="1:19">
      <c r="A86" s="19" t="s">
        <v>12</v>
      </c>
      <c r="B86" s="20" t="s">
        <v>4</v>
      </c>
      <c r="C86" s="20" t="s">
        <v>8</v>
      </c>
      <c r="D86" s="20">
        <v>7</v>
      </c>
      <c r="E86" s="20">
        <v>3840</v>
      </c>
      <c r="F86" s="20">
        <v>2160</v>
      </c>
      <c r="G86" s="20">
        <v>432</v>
      </c>
      <c r="H86" s="20">
        <v>0.5</v>
      </c>
      <c r="I86" s="20">
        <f>Table14[[#This Row],[width_scalebar_mm]]/Table14[[#This Row],[width_scalebar_px]]</f>
        <v>1.1574074074074073E-3</v>
      </c>
      <c r="J86" s="20">
        <v>1</v>
      </c>
      <c r="K86" s="20">
        <v>745281</v>
      </c>
      <c r="L86" s="20">
        <v>3209.8130000000001</v>
      </c>
      <c r="M86" s="20">
        <v>193678</v>
      </c>
      <c r="N86" s="20">
        <v>1573.5260000000001</v>
      </c>
      <c r="O86" s="20">
        <v>11075</v>
      </c>
      <c r="P86" s="20">
        <v>653.00900000000001</v>
      </c>
      <c r="Q86" s="20">
        <v>14053</v>
      </c>
      <c r="R86" s="20">
        <v>40461</v>
      </c>
      <c r="S86" s="20">
        <v>10</v>
      </c>
    </row>
    <row r="87" spans="1:19">
      <c r="A87" s="19" t="s">
        <v>12</v>
      </c>
      <c r="B87" s="20" t="s">
        <v>4</v>
      </c>
      <c r="C87" s="20" t="s">
        <v>8</v>
      </c>
      <c r="D87" s="20">
        <v>8</v>
      </c>
      <c r="E87" s="20">
        <v>3840</v>
      </c>
      <c r="F87" s="20">
        <v>2160</v>
      </c>
      <c r="G87" s="20">
        <v>406</v>
      </c>
      <c r="H87" s="20">
        <v>0.5</v>
      </c>
      <c r="I87" s="20">
        <f>Table14[[#This Row],[width_scalebar_mm]]/Table14[[#This Row],[width_scalebar_px]]</f>
        <v>1.2315270935960591E-3</v>
      </c>
      <c r="J87" s="20">
        <v>2</v>
      </c>
      <c r="K87" s="20">
        <v>677766</v>
      </c>
      <c r="L87" s="20">
        <v>2979.165</v>
      </c>
      <c r="M87" s="20">
        <v>174366</v>
      </c>
      <c r="N87" s="20">
        <v>1488.854</v>
      </c>
      <c r="O87" s="20">
        <v>9842</v>
      </c>
      <c r="P87" s="20">
        <v>545.37</v>
      </c>
      <c r="Q87" s="20">
        <v>51150</v>
      </c>
      <c r="R87" s="20">
        <v>44398</v>
      </c>
      <c r="S87" s="20">
        <v>11</v>
      </c>
    </row>
    <row r="88" spans="1:19">
      <c r="A88" s="19" t="s">
        <v>12</v>
      </c>
      <c r="B88" s="20" t="s">
        <v>4</v>
      </c>
      <c r="C88" s="20" t="s">
        <v>8</v>
      </c>
      <c r="D88" s="20">
        <v>9</v>
      </c>
      <c r="E88" s="20">
        <v>3840</v>
      </c>
      <c r="F88" s="20">
        <v>2160</v>
      </c>
      <c r="G88" s="20">
        <v>416</v>
      </c>
      <c r="H88" s="20">
        <v>0.5</v>
      </c>
      <c r="I88" s="20">
        <f>Table14[[#This Row],[width_scalebar_mm]]/Table14[[#This Row],[width_scalebar_px]]</f>
        <v>1.201923076923077E-3</v>
      </c>
      <c r="J88" s="20">
        <v>0</v>
      </c>
      <c r="K88" s="20">
        <v>628707</v>
      </c>
      <c r="L88" s="20">
        <v>2980.1260000000002</v>
      </c>
      <c r="M88" s="20">
        <v>168919</v>
      </c>
      <c r="N88" s="20">
        <v>1467.5450000000001</v>
      </c>
      <c r="O88" s="20">
        <v>11336</v>
      </c>
      <c r="P88" s="20">
        <v>601.99699999999996</v>
      </c>
      <c r="Q88" s="20">
        <v>0</v>
      </c>
      <c r="R88" s="20">
        <v>38130</v>
      </c>
      <c r="S88" s="20">
        <v>11</v>
      </c>
    </row>
    <row r="89" spans="1:19">
      <c r="A89" s="19" t="s">
        <v>12</v>
      </c>
      <c r="B89" s="20" t="s">
        <v>4</v>
      </c>
      <c r="C89" s="20" t="s">
        <v>8</v>
      </c>
      <c r="D89" s="20">
        <v>10</v>
      </c>
      <c r="E89" s="20">
        <v>3840</v>
      </c>
      <c r="F89" s="20">
        <v>2160</v>
      </c>
      <c r="G89" s="20">
        <v>380</v>
      </c>
      <c r="H89" s="20">
        <v>0.5</v>
      </c>
      <c r="I89" s="20">
        <f>Table14[[#This Row],[width_scalebar_mm]]/Table14[[#This Row],[width_scalebar_px]]</f>
        <v>1.3157894736842105E-3</v>
      </c>
      <c r="J89" s="20">
        <v>2</v>
      </c>
      <c r="K89" s="20">
        <v>721143</v>
      </c>
      <c r="L89" s="20">
        <v>3057.9490000000001</v>
      </c>
      <c r="M89" s="20">
        <v>151806</v>
      </c>
      <c r="N89" s="20">
        <v>1393.7370000000001</v>
      </c>
      <c r="O89" s="20">
        <v>8667</v>
      </c>
      <c r="P89" s="20">
        <v>491.18599999999998</v>
      </c>
      <c r="Q89" s="20">
        <v>15543</v>
      </c>
      <c r="R89" s="20">
        <v>33750</v>
      </c>
      <c r="S89" s="20">
        <v>11</v>
      </c>
    </row>
    <row r="90" spans="1:19">
      <c r="A90" s="19" t="s">
        <v>12</v>
      </c>
      <c r="B90" s="20" t="s">
        <v>4</v>
      </c>
      <c r="C90" s="20" t="s">
        <v>8</v>
      </c>
      <c r="D90" s="20">
        <v>11</v>
      </c>
      <c r="E90" s="20">
        <v>3840</v>
      </c>
      <c r="F90" s="20">
        <v>2160</v>
      </c>
      <c r="G90" s="20">
        <v>427</v>
      </c>
      <c r="H90" s="20">
        <v>0.5</v>
      </c>
      <c r="I90" s="20">
        <f>Table14[[#This Row],[width_scalebar_mm]]/Table14[[#This Row],[width_scalebar_px]]</f>
        <v>1.17096018735363E-3</v>
      </c>
      <c r="J90" s="20">
        <v>3</v>
      </c>
      <c r="K90" s="20">
        <v>900892</v>
      </c>
      <c r="L90" s="20">
        <v>3447.22</v>
      </c>
      <c r="M90" s="20">
        <v>220934</v>
      </c>
      <c r="N90" s="20">
        <v>1682.1769999999999</v>
      </c>
      <c r="O90" s="20">
        <v>14269</v>
      </c>
      <c r="P90" s="20">
        <v>547.12699999999995</v>
      </c>
      <c r="Q90" s="20">
        <v>45736</v>
      </c>
      <c r="R90" s="20">
        <v>50768</v>
      </c>
      <c r="S90" s="20">
        <v>11</v>
      </c>
    </row>
    <row r="91" spans="1:19">
      <c r="A91" s="19" t="s">
        <v>12</v>
      </c>
      <c r="B91" s="20" t="s">
        <v>4</v>
      </c>
      <c r="C91" s="20" t="s">
        <v>8</v>
      </c>
      <c r="D91" s="20">
        <v>12</v>
      </c>
      <c r="E91" s="20">
        <v>3840</v>
      </c>
      <c r="F91" s="20">
        <v>2160</v>
      </c>
      <c r="G91" s="20">
        <v>387</v>
      </c>
      <c r="H91" s="20">
        <v>0.5</v>
      </c>
      <c r="I91" s="20">
        <f>Table14[[#This Row],[width_scalebar_mm]]/Table14[[#This Row],[width_scalebar_px]]</f>
        <v>1.2919896640826874E-3</v>
      </c>
      <c r="J91" s="20">
        <v>1</v>
      </c>
      <c r="K91" s="20">
        <v>612393</v>
      </c>
      <c r="L91" s="20">
        <v>2879.9859999999999</v>
      </c>
      <c r="M91" s="20">
        <v>184062</v>
      </c>
      <c r="N91" s="20">
        <v>1529.91</v>
      </c>
      <c r="O91" s="20">
        <v>12291</v>
      </c>
      <c r="P91" s="20">
        <v>575.02599999999995</v>
      </c>
      <c r="Q91" s="20">
        <v>4831</v>
      </c>
      <c r="R91" s="20">
        <v>41543</v>
      </c>
      <c r="S91" s="20">
        <v>11</v>
      </c>
    </row>
    <row r="92" spans="1:19">
      <c r="A92" s="19" t="s">
        <v>12</v>
      </c>
      <c r="B92" s="20" t="s">
        <v>4</v>
      </c>
      <c r="C92" s="20" t="s">
        <v>8</v>
      </c>
      <c r="D92" s="20">
        <v>13</v>
      </c>
      <c r="E92" s="20">
        <v>3840</v>
      </c>
      <c r="F92" s="20">
        <v>2160</v>
      </c>
      <c r="G92" s="20">
        <v>464</v>
      </c>
      <c r="H92" s="20">
        <v>0.5</v>
      </c>
      <c r="I92" s="20">
        <f>Table14[[#This Row],[width_scalebar_mm]]/Table14[[#This Row],[width_scalebar_px]]</f>
        <v>1.0775862068965517E-3</v>
      </c>
      <c r="J92" s="20">
        <v>3</v>
      </c>
      <c r="K92" s="20">
        <v>1078437</v>
      </c>
      <c r="L92" s="20">
        <v>3815.2739999999999</v>
      </c>
      <c r="M92" s="20">
        <v>294676</v>
      </c>
      <c r="N92" s="20">
        <v>1938.675</v>
      </c>
      <c r="O92" s="20">
        <v>22857</v>
      </c>
      <c r="P92" s="20">
        <v>854.10500000000002</v>
      </c>
      <c r="Q92" s="20">
        <v>37192</v>
      </c>
      <c r="R92" s="20">
        <v>72742</v>
      </c>
      <c r="S92" s="20">
        <v>11</v>
      </c>
    </row>
    <row r="93" spans="1:19">
      <c r="A93" s="19" t="s">
        <v>12</v>
      </c>
      <c r="B93" s="20" t="s">
        <v>4</v>
      </c>
      <c r="C93" s="20" t="s">
        <v>8</v>
      </c>
      <c r="D93" s="20">
        <v>14</v>
      </c>
      <c r="E93" s="20">
        <v>3840</v>
      </c>
      <c r="F93" s="20">
        <v>2160</v>
      </c>
      <c r="G93" s="20">
        <v>431</v>
      </c>
      <c r="H93" s="20">
        <v>0.5</v>
      </c>
      <c r="I93" s="20">
        <f>Table14[[#This Row],[width_scalebar_mm]]/Table14[[#This Row],[width_scalebar_px]]</f>
        <v>1.1600928074245939E-3</v>
      </c>
      <c r="J93" s="20">
        <v>1</v>
      </c>
      <c r="K93" s="20">
        <v>1111324</v>
      </c>
      <c r="L93" s="20">
        <v>3805.3040000000001</v>
      </c>
      <c r="M93" s="20">
        <v>293128</v>
      </c>
      <c r="N93" s="20">
        <v>1937.7190000000001</v>
      </c>
      <c r="O93" s="20">
        <v>34470</v>
      </c>
      <c r="P93" s="20">
        <v>973.40099999999995</v>
      </c>
      <c r="Q93" s="20">
        <v>10044</v>
      </c>
      <c r="R93" s="20">
        <v>54877</v>
      </c>
      <c r="S93" s="20">
        <v>11</v>
      </c>
    </row>
    <row r="94" spans="1:19">
      <c r="A94" s="19" t="s">
        <v>12</v>
      </c>
      <c r="B94" s="20" t="s">
        <v>4</v>
      </c>
      <c r="C94" s="20" t="s">
        <v>8</v>
      </c>
      <c r="D94" s="20">
        <v>15</v>
      </c>
      <c r="E94" s="20">
        <v>3840</v>
      </c>
      <c r="F94" s="20">
        <v>2160</v>
      </c>
      <c r="G94" s="20">
        <v>358</v>
      </c>
      <c r="H94" s="20">
        <v>0.5</v>
      </c>
      <c r="I94" s="20">
        <f>Table14[[#This Row],[width_scalebar_mm]]/Table14[[#This Row],[width_scalebar_px]]</f>
        <v>1.3966480446927375E-3</v>
      </c>
      <c r="J94" s="20">
        <v>0</v>
      </c>
      <c r="K94" s="20">
        <v>937688</v>
      </c>
      <c r="L94" s="20">
        <v>3479.8539999999998</v>
      </c>
      <c r="M94" s="20">
        <v>255754</v>
      </c>
      <c r="N94" s="20">
        <v>1804.4570000000001</v>
      </c>
      <c r="O94" s="20">
        <v>51068</v>
      </c>
      <c r="P94" s="20">
        <v>1022.413</v>
      </c>
      <c r="Q94" s="20">
        <v>0</v>
      </c>
      <c r="R94" s="20">
        <v>46384</v>
      </c>
      <c r="S94" s="20">
        <v>15</v>
      </c>
    </row>
    <row r="95" spans="1:19">
      <c r="A95" s="19" t="s">
        <v>12</v>
      </c>
      <c r="B95" s="20" t="s">
        <v>4</v>
      </c>
      <c r="C95" s="20" t="s">
        <v>8</v>
      </c>
      <c r="D95" s="20">
        <v>16</v>
      </c>
      <c r="E95" s="20">
        <v>3840</v>
      </c>
      <c r="F95" s="20">
        <v>2160</v>
      </c>
      <c r="G95" s="20">
        <v>201</v>
      </c>
      <c r="H95" s="20">
        <v>0.2</v>
      </c>
      <c r="I95" s="20">
        <f>Table14[[#This Row],[width_scalebar_mm]]/Table14[[#This Row],[width_scalebar_px]]</f>
        <v>9.950248756218907E-4</v>
      </c>
      <c r="J95" s="20">
        <v>0</v>
      </c>
      <c r="K95" s="20">
        <v>2222175</v>
      </c>
      <c r="L95" s="20">
        <v>5313.232</v>
      </c>
      <c r="M95" s="20">
        <v>577324</v>
      </c>
      <c r="N95" s="20">
        <v>2713.848</v>
      </c>
      <c r="O95" s="20">
        <v>145402</v>
      </c>
      <c r="P95" s="20">
        <v>2087.3710000000001</v>
      </c>
      <c r="Q95" s="20">
        <v>0</v>
      </c>
      <c r="R95" s="20">
        <v>121772</v>
      </c>
      <c r="S95" s="20">
        <v>15</v>
      </c>
    </row>
    <row r="96" spans="1:19">
      <c r="A96" s="19" t="s">
        <v>12</v>
      </c>
      <c r="B96" s="20" t="s">
        <v>4</v>
      </c>
      <c r="C96" s="20" t="s">
        <v>8</v>
      </c>
      <c r="D96" s="20">
        <v>17</v>
      </c>
      <c r="E96" s="20">
        <v>3840</v>
      </c>
      <c r="F96" s="20">
        <v>2160</v>
      </c>
      <c r="G96" s="20">
        <v>454</v>
      </c>
      <c r="H96" s="20">
        <v>0.5</v>
      </c>
      <c r="I96" s="20">
        <f>Table14[[#This Row],[width_scalebar_mm]]/Table14[[#This Row],[width_scalebar_px]]</f>
        <v>1.1013215859030838E-3</v>
      </c>
      <c r="J96" s="20">
        <v>0</v>
      </c>
      <c r="K96" s="20">
        <v>2532513</v>
      </c>
      <c r="L96" s="20">
        <v>5729.9430000000002</v>
      </c>
      <c r="M96" s="20">
        <v>695239</v>
      </c>
      <c r="N96" s="20">
        <v>2974.28</v>
      </c>
      <c r="O96" s="20">
        <v>200231</v>
      </c>
      <c r="P96" s="20">
        <v>2574.4389999999999</v>
      </c>
      <c r="Q96" s="20">
        <v>0</v>
      </c>
      <c r="R96" s="20">
        <v>92762</v>
      </c>
      <c r="S96" s="20">
        <v>18</v>
      </c>
    </row>
    <row r="97" spans="1:19">
      <c r="A97" s="19" t="s">
        <v>12</v>
      </c>
      <c r="B97" s="20" t="s">
        <v>4</v>
      </c>
      <c r="C97" s="20" t="s">
        <v>8</v>
      </c>
      <c r="D97" s="20">
        <v>18</v>
      </c>
      <c r="E97" s="20">
        <v>3840</v>
      </c>
      <c r="F97" s="20">
        <v>2160</v>
      </c>
      <c r="G97" s="20">
        <v>247</v>
      </c>
      <c r="H97" s="20">
        <v>0.5</v>
      </c>
      <c r="I97" s="20">
        <f>Table14[[#This Row],[width_scalebar_mm]]/Table14[[#This Row],[width_scalebar_px]]</f>
        <v>2.0242914979757085E-3</v>
      </c>
      <c r="J97" s="20">
        <v>0</v>
      </c>
      <c r="K97" s="20">
        <v>1328507</v>
      </c>
      <c r="L97" s="20">
        <v>4100.1390000000001</v>
      </c>
      <c r="M97" s="20">
        <v>386139</v>
      </c>
      <c r="N97" s="20">
        <v>2214.0920000000001</v>
      </c>
      <c r="O97" s="20">
        <v>158470</v>
      </c>
      <c r="P97" s="20">
        <v>2070.1819999999998</v>
      </c>
      <c r="Q97" s="20">
        <v>0</v>
      </c>
      <c r="R97" s="20">
        <v>31316</v>
      </c>
      <c r="S97" s="20">
        <v>20</v>
      </c>
    </row>
    <row r="98" spans="1:19">
      <c r="A98" s="27" t="s">
        <v>13</v>
      </c>
      <c r="B98" s="28" t="s">
        <v>4</v>
      </c>
      <c r="C98" s="28" t="s">
        <v>8</v>
      </c>
      <c r="D98" s="28">
        <v>1</v>
      </c>
      <c r="E98" s="28">
        <v>3840</v>
      </c>
      <c r="F98" s="28">
        <v>2160</v>
      </c>
      <c r="G98" s="28">
        <v>204</v>
      </c>
      <c r="H98" s="28">
        <v>0.2</v>
      </c>
      <c r="I98" s="28">
        <f>Table14[[#This Row],[width_scalebar_mm]]/Table14[[#This Row],[width_scalebar_px]]</f>
        <v>9.8039215686274508E-4</v>
      </c>
      <c r="J98" s="28">
        <v>1</v>
      </c>
      <c r="K98" s="28">
        <v>535107</v>
      </c>
      <c r="L98" s="28">
        <v>2728</v>
      </c>
      <c r="M98" s="28">
        <v>83402</v>
      </c>
      <c r="N98" s="28">
        <v>1047</v>
      </c>
      <c r="O98" s="28">
        <v>5059</v>
      </c>
      <c r="P98" s="28">
        <v>428</v>
      </c>
      <c r="Q98" s="28"/>
      <c r="R98" s="28"/>
      <c r="S98" s="28">
        <v>7</v>
      </c>
    </row>
    <row r="99" spans="1:19">
      <c r="A99" s="27" t="s">
        <v>13</v>
      </c>
      <c r="B99" s="28" t="s">
        <v>4</v>
      </c>
      <c r="C99" s="28" t="s">
        <v>8</v>
      </c>
      <c r="D99" s="28">
        <v>2</v>
      </c>
      <c r="E99" s="28">
        <v>3840</v>
      </c>
      <c r="F99" s="28">
        <v>2160</v>
      </c>
      <c r="G99" s="28">
        <v>216</v>
      </c>
      <c r="H99" s="28">
        <v>0.2</v>
      </c>
      <c r="I99" s="28">
        <f>Table14[[#This Row],[width_scalebar_mm]]/Table14[[#This Row],[width_scalebar_px]]</f>
        <v>9.2592592592592596E-4</v>
      </c>
      <c r="J99" s="28">
        <v>2</v>
      </c>
      <c r="K99" s="28">
        <v>755664</v>
      </c>
      <c r="L99" s="28">
        <v>3202</v>
      </c>
      <c r="M99" s="28">
        <v>125932</v>
      </c>
      <c r="N99" s="28">
        <v>1270</v>
      </c>
      <c r="O99" s="28">
        <v>6651</v>
      </c>
      <c r="P99" s="28">
        <v>423</v>
      </c>
      <c r="Q99" s="28"/>
      <c r="R99" s="28"/>
      <c r="S99" s="28">
        <v>7</v>
      </c>
    </row>
    <row r="100" spans="1:19">
      <c r="A100" s="27" t="s">
        <v>13</v>
      </c>
      <c r="B100" s="28" t="s">
        <v>4</v>
      </c>
      <c r="C100" s="28" t="s">
        <v>8</v>
      </c>
      <c r="D100" s="28">
        <v>3</v>
      </c>
      <c r="E100" s="28">
        <v>3840</v>
      </c>
      <c r="F100" s="28">
        <v>2160</v>
      </c>
      <c r="G100" s="28">
        <v>216</v>
      </c>
      <c r="H100" s="28">
        <v>0.2</v>
      </c>
      <c r="I100" s="28">
        <f>Table14[[#This Row],[width_scalebar_mm]]/Table14[[#This Row],[width_scalebar_px]]</f>
        <v>9.2592592592592596E-4</v>
      </c>
      <c r="J100" s="28">
        <v>2</v>
      </c>
      <c r="K100" s="28">
        <v>784413</v>
      </c>
      <c r="L100" s="28">
        <v>3232</v>
      </c>
      <c r="M100" s="28">
        <v>135363</v>
      </c>
      <c r="N100" s="28">
        <v>1312</v>
      </c>
      <c r="O100" s="28">
        <v>11365</v>
      </c>
      <c r="P100" s="28">
        <v>652</v>
      </c>
      <c r="Q100" s="28"/>
      <c r="R100" s="28"/>
      <c r="S100" s="28">
        <v>8</v>
      </c>
    </row>
    <row r="101" spans="1:19">
      <c r="A101" s="27" t="s">
        <v>13</v>
      </c>
      <c r="B101" s="28" t="s">
        <v>4</v>
      </c>
      <c r="C101" s="28" t="s">
        <v>8</v>
      </c>
      <c r="D101" s="28">
        <v>4</v>
      </c>
      <c r="E101" s="28">
        <v>3840</v>
      </c>
      <c r="F101" s="28">
        <v>2160</v>
      </c>
      <c r="G101" s="28">
        <v>216</v>
      </c>
      <c r="H101" s="28">
        <v>0.2</v>
      </c>
      <c r="I101" s="28">
        <f>Table14[[#This Row],[width_scalebar_mm]]/Table14[[#This Row],[width_scalebar_px]]</f>
        <v>9.2592592592592596E-4</v>
      </c>
      <c r="J101" s="28">
        <v>1</v>
      </c>
      <c r="K101" s="28">
        <v>796989</v>
      </c>
      <c r="L101" s="28">
        <v>3317</v>
      </c>
      <c r="M101" s="28">
        <v>170623</v>
      </c>
      <c r="N101" s="28">
        <v>1486</v>
      </c>
      <c r="O101" s="28">
        <v>13864</v>
      </c>
      <c r="P101" s="28">
        <v>599</v>
      </c>
      <c r="Q101" s="28"/>
      <c r="R101" s="28"/>
      <c r="S101" s="28">
        <v>10</v>
      </c>
    </row>
    <row r="102" spans="1:19">
      <c r="A102" s="27" t="s">
        <v>13</v>
      </c>
      <c r="B102" s="28" t="s">
        <v>4</v>
      </c>
      <c r="C102" s="28" t="s">
        <v>8</v>
      </c>
      <c r="D102" s="28">
        <v>5</v>
      </c>
      <c r="E102" s="28">
        <v>3840</v>
      </c>
      <c r="F102" s="28">
        <v>2160</v>
      </c>
      <c r="G102" s="28">
        <v>216</v>
      </c>
      <c r="H102" s="28">
        <v>0.2</v>
      </c>
      <c r="I102" s="28">
        <f>Table14[[#This Row],[width_scalebar_mm]]/Table14[[#This Row],[width_scalebar_px]]</f>
        <v>9.2592592592592596E-4</v>
      </c>
      <c r="J102" s="28">
        <v>3</v>
      </c>
      <c r="K102" s="28">
        <v>852960</v>
      </c>
      <c r="L102" s="28">
        <v>3624</v>
      </c>
      <c r="M102" s="28">
        <v>200102</v>
      </c>
      <c r="N102" s="28">
        <v>1602</v>
      </c>
      <c r="O102" s="28">
        <v>19062</v>
      </c>
      <c r="P102" s="28">
        <v>725</v>
      </c>
      <c r="Q102" s="28"/>
      <c r="R102" s="28"/>
      <c r="S102" s="28">
        <v>11</v>
      </c>
    </row>
    <row r="103" spans="1:19">
      <c r="A103" s="27" t="s">
        <v>13</v>
      </c>
      <c r="B103" s="28" t="s">
        <v>4</v>
      </c>
      <c r="C103" s="28" t="s">
        <v>8</v>
      </c>
      <c r="D103" s="28">
        <v>6</v>
      </c>
      <c r="E103" s="28">
        <v>3840</v>
      </c>
      <c r="F103" s="28">
        <v>2160</v>
      </c>
      <c r="G103" s="28">
        <v>216</v>
      </c>
      <c r="H103" s="28">
        <v>0.2</v>
      </c>
      <c r="I103" s="28">
        <f>Table14[[#This Row],[width_scalebar_mm]]/Table14[[#This Row],[width_scalebar_px]]</f>
        <v>9.2592592592592596E-4</v>
      </c>
      <c r="J103" s="28">
        <v>3</v>
      </c>
      <c r="K103" s="28">
        <v>1231644</v>
      </c>
      <c r="L103" s="28">
        <v>4143</v>
      </c>
      <c r="M103" s="28">
        <v>265670</v>
      </c>
      <c r="N103" s="28">
        <v>1838</v>
      </c>
      <c r="O103" s="28">
        <v>27319</v>
      </c>
      <c r="P103" s="28">
        <v>956</v>
      </c>
      <c r="Q103" s="28"/>
      <c r="R103" s="28"/>
      <c r="S103" s="28">
        <v>11</v>
      </c>
    </row>
    <row r="104" spans="1:19">
      <c r="A104" s="27" t="s">
        <v>13</v>
      </c>
      <c r="B104" s="28" t="s">
        <v>4</v>
      </c>
      <c r="C104" s="28" t="s">
        <v>8</v>
      </c>
      <c r="D104" s="28">
        <v>7</v>
      </c>
      <c r="E104" s="28">
        <v>3840</v>
      </c>
      <c r="F104" s="28">
        <v>2160</v>
      </c>
      <c r="G104" s="28">
        <v>216</v>
      </c>
      <c r="H104" s="28">
        <v>0.2</v>
      </c>
      <c r="I104" s="28">
        <f>Table14[[#This Row],[width_scalebar_mm]]/Table14[[#This Row],[width_scalebar_px]]</f>
        <v>9.2592592592592596E-4</v>
      </c>
      <c r="J104" s="28">
        <v>3</v>
      </c>
      <c r="K104" s="28">
        <v>2016720</v>
      </c>
      <c r="L104" s="28">
        <v>5184</v>
      </c>
      <c r="M104" s="28">
        <v>464357</v>
      </c>
      <c r="N104" s="28">
        <v>2446</v>
      </c>
      <c r="O104" s="28">
        <v>62699</v>
      </c>
      <c r="P104" s="28">
        <v>1702</v>
      </c>
      <c r="Q104" s="28"/>
      <c r="R104" s="28"/>
      <c r="S104" s="28">
        <v>13</v>
      </c>
    </row>
    <row r="105" spans="1:19">
      <c r="A105" s="27" t="s">
        <v>13</v>
      </c>
      <c r="B105" s="28" t="s">
        <v>4</v>
      </c>
      <c r="C105" s="28" t="s">
        <v>8</v>
      </c>
      <c r="D105" s="28">
        <v>8</v>
      </c>
      <c r="E105" s="28">
        <v>3840</v>
      </c>
      <c r="F105" s="28">
        <v>2160</v>
      </c>
      <c r="G105" s="28">
        <v>216</v>
      </c>
      <c r="H105" s="28">
        <v>0.2</v>
      </c>
      <c r="I105" s="28">
        <f>Table14[[#This Row],[width_scalebar_mm]]/Table14[[#This Row],[width_scalebar_px]]</f>
        <v>9.2592592592592596E-4</v>
      </c>
      <c r="J105" s="28">
        <v>4</v>
      </c>
      <c r="K105" s="28">
        <v>2846124</v>
      </c>
      <c r="L105" s="28">
        <v>6295</v>
      </c>
      <c r="M105" s="28">
        <v>613348</v>
      </c>
      <c r="N105" s="28">
        <v>2791</v>
      </c>
      <c r="O105" s="28">
        <v>88459</v>
      </c>
      <c r="P105" s="28">
        <v>1853</v>
      </c>
      <c r="Q105" s="28"/>
      <c r="R105" s="28"/>
      <c r="S105" s="28">
        <v>13</v>
      </c>
    </row>
    <row r="106" spans="1:19">
      <c r="A106" s="27" t="s">
        <v>13</v>
      </c>
      <c r="B106" s="28" t="s">
        <v>4</v>
      </c>
      <c r="C106" s="28" t="s">
        <v>8</v>
      </c>
      <c r="D106" s="28">
        <v>9</v>
      </c>
      <c r="E106" s="28">
        <v>3840</v>
      </c>
      <c r="F106" s="28">
        <v>2160</v>
      </c>
      <c r="G106" s="28">
        <v>216</v>
      </c>
      <c r="H106" s="28">
        <v>0.2</v>
      </c>
      <c r="I106" s="28">
        <f>Table14[[#This Row],[width_scalebar_mm]]/Table14[[#This Row],[width_scalebar_px]]</f>
        <v>9.2592592592592596E-4</v>
      </c>
      <c r="J106" s="28">
        <v>4</v>
      </c>
      <c r="K106" s="28">
        <v>2300826</v>
      </c>
      <c r="L106" s="28">
        <v>5535</v>
      </c>
      <c r="M106" s="28">
        <v>587762</v>
      </c>
      <c r="N106" s="28">
        <v>2747</v>
      </c>
      <c r="O106" s="28">
        <v>96410</v>
      </c>
      <c r="P106" s="28">
        <v>1733</v>
      </c>
      <c r="Q106" s="28"/>
      <c r="R106" s="28"/>
      <c r="S106" s="28">
        <v>13</v>
      </c>
    </row>
    <row r="107" spans="1:19">
      <c r="A107" s="27" t="s">
        <v>13</v>
      </c>
      <c r="B107" s="28" t="s">
        <v>4</v>
      </c>
      <c r="C107" s="28" t="s">
        <v>8</v>
      </c>
      <c r="D107" s="28">
        <v>10</v>
      </c>
      <c r="E107" s="28">
        <v>3840</v>
      </c>
      <c r="F107" s="28">
        <v>2160</v>
      </c>
      <c r="G107" s="28">
        <v>216</v>
      </c>
      <c r="H107" s="28">
        <v>0.2</v>
      </c>
      <c r="I107" s="28">
        <f>Table14[[#This Row],[width_scalebar_mm]]/Table14[[#This Row],[width_scalebar_px]]</f>
        <v>9.2592592592592596E-4</v>
      </c>
      <c r="J107" s="28">
        <v>4</v>
      </c>
      <c r="K107" s="28">
        <v>2220717</v>
      </c>
      <c r="L107" s="28">
        <v>5440</v>
      </c>
      <c r="M107" s="28">
        <v>602327</v>
      </c>
      <c r="N107" s="28">
        <v>2784</v>
      </c>
      <c r="O107" s="28">
        <v>100387</v>
      </c>
      <c r="P107" s="28">
        <v>2090</v>
      </c>
      <c r="Q107" s="28"/>
      <c r="R107" s="28"/>
      <c r="S107" s="28">
        <v>15</v>
      </c>
    </row>
    <row r="108" spans="1:19">
      <c r="A108" s="27" t="s">
        <v>13</v>
      </c>
      <c r="B108" s="28" t="s">
        <v>4</v>
      </c>
      <c r="C108" s="28" t="s">
        <v>8</v>
      </c>
      <c r="D108" s="28">
        <v>11</v>
      </c>
      <c r="E108" s="28">
        <v>3840</v>
      </c>
      <c r="F108" s="28">
        <v>2160</v>
      </c>
      <c r="G108" s="28">
        <v>216</v>
      </c>
      <c r="H108" s="28">
        <v>0.2</v>
      </c>
      <c r="I108" s="28">
        <f>Table14[[#This Row],[width_scalebar_mm]]/Table14[[#This Row],[width_scalebar_px]]</f>
        <v>9.2592592592592596E-4</v>
      </c>
      <c r="J108" s="28">
        <v>4</v>
      </c>
      <c r="K108" s="28">
        <v>2156436</v>
      </c>
      <c r="L108" s="28">
        <v>5443</v>
      </c>
      <c r="M108" s="28">
        <v>641689</v>
      </c>
      <c r="N108" s="28">
        <v>2872</v>
      </c>
      <c r="O108" s="28">
        <v>118849</v>
      </c>
      <c r="P108" s="28">
        <v>2043</v>
      </c>
      <c r="Q108" s="28"/>
      <c r="R108" s="28"/>
      <c r="S108" s="28">
        <v>16</v>
      </c>
    </row>
    <row r="109" spans="1:19">
      <c r="A109" s="27" t="s">
        <v>13</v>
      </c>
      <c r="B109" s="28" t="s">
        <v>4</v>
      </c>
      <c r="C109" s="28" t="s">
        <v>8</v>
      </c>
      <c r="D109" s="28">
        <v>12</v>
      </c>
      <c r="E109" s="28">
        <v>3840</v>
      </c>
      <c r="F109" s="28">
        <v>2160</v>
      </c>
      <c r="G109" s="28">
        <v>214</v>
      </c>
      <c r="H109" s="28">
        <v>0.2</v>
      </c>
      <c r="I109" s="28">
        <f>Table14[[#This Row],[width_scalebar_mm]]/Table14[[#This Row],[width_scalebar_px]]</f>
        <v>9.3457943925233649E-4</v>
      </c>
      <c r="J109" s="28">
        <v>4</v>
      </c>
      <c r="K109" s="28">
        <v>2820507</v>
      </c>
      <c r="L109" s="28">
        <v>6013</v>
      </c>
      <c r="M109" s="28">
        <v>739108</v>
      </c>
      <c r="N109" s="28">
        <v>3069</v>
      </c>
      <c r="O109" s="28">
        <v>162833</v>
      </c>
      <c r="P109" s="28">
        <v>2394</v>
      </c>
      <c r="Q109" s="28"/>
      <c r="R109" s="28"/>
      <c r="S109" s="28">
        <v>16</v>
      </c>
    </row>
    <row r="110" spans="1:19">
      <c r="A110" s="27" t="s">
        <v>13</v>
      </c>
      <c r="B110" s="28" t="s">
        <v>4</v>
      </c>
      <c r="C110" s="28" t="s">
        <v>8</v>
      </c>
      <c r="D110" s="28">
        <v>13</v>
      </c>
      <c r="E110" s="28">
        <v>3840</v>
      </c>
      <c r="F110" s="28">
        <v>2160</v>
      </c>
      <c r="G110" s="28">
        <v>214</v>
      </c>
      <c r="H110" s="28">
        <v>0.2</v>
      </c>
      <c r="I110" s="28">
        <f>Table14[[#This Row],[width_scalebar_mm]]/Table14[[#This Row],[width_scalebar_px]]</f>
        <v>9.3457943925233649E-4</v>
      </c>
      <c r="J110" s="28">
        <v>4</v>
      </c>
      <c r="K110" s="28">
        <v>2852448</v>
      </c>
      <c r="L110" s="28">
        <v>6060</v>
      </c>
      <c r="M110" s="28">
        <v>791153</v>
      </c>
      <c r="N110" s="28">
        <v>3177</v>
      </c>
      <c r="O110" s="28">
        <v>185120</v>
      </c>
      <c r="P110" s="28">
        <v>2829</v>
      </c>
      <c r="Q110" s="28"/>
      <c r="R110" s="28"/>
      <c r="S110" s="28">
        <v>15</v>
      </c>
    </row>
    <row r="111" spans="1:19">
      <c r="A111" s="27" t="s">
        <v>13</v>
      </c>
      <c r="B111" s="28" t="s">
        <v>4</v>
      </c>
      <c r="C111" s="28" t="s">
        <v>8</v>
      </c>
      <c r="D111" s="28">
        <v>14</v>
      </c>
      <c r="E111" s="28">
        <v>3840</v>
      </c>
      <c r="F111" s="28">
        <v>2160</v>
      </c>
      <c r="G111" s="28">
        <v>214</v>
      </c>
      <c r="H111" s="28">
        <v>0.2</v>
      </c>
      <c r="I111" s="28">
        <f>Table14[[#This Row],[width_scalebar_mm]]/Table14[[#This Row],[width_scalebar_px]]</f>
        <v>9.3457943925233649E-4</v>
      </c>
      <c r="J111" s="28">
        <v>4</v>
      </c>
      <c r="K111" s="28">
        <v>3056808</v>
      </c>
      <c r="L111" s="28">
        <v>6241</v>
      </c>
      <c r="M111" s="28">
        <v>894454</v>
      </c>
      <c r="N111" s="28">
        <v>3381</v>
      </c>
      <c r="O111" s="28">
        <v>213382</v>
      </c>
      <c r="P111" s="28">
        <v>3365</v>
      </c>
      <c r="Q111" s="28"/>
      <c r="R111" s="28"/>
      <c r="S111" s="28">
        <v>19</v>
      </c>
    </row>
    <row r="112" spans="1:19">
      <c r="A112" s="27" t="s">
        <v>13</v>
      </c>
      <c r="B112" s="28" t="s">
        <v>4</v>
      </c>
      <c r="C112" s="28" t="s">
        <v>8</v>
      </c>
      <c r="D112" s="28">
        <v>15</v>
      </c>
      <c r="E112" s="28">
        <v>3840</v>
      </c>
      <c r="F112" s="28">
        <v>2160</v>
      </c>
      <c r="G112" s="28">
        <v>214</v>
      </c>
      <c r="H112" s="28">
        <v>0.2</v>
      </c>
      <c r="I112" s="28">
        <f>Table14[[#This Row],[width_scalebar_mm]]/Table14[[#This Row],[width_scalebar_px]]</f>
        <v>9.3457943925233649E-4</v>
      </c>
      <c r="J112" s="28">
        <v>4</v>
      </c>
      <c r="K112" s="28">
        <v>3013665</v>
      </c>
      <c r="L112" s="28">
        <v>6264</v>
      </c>
      <c r="M112" s="28">
        <v>982044</v>
      </c>
      <c r="N112" s="28">
        <v>3537</v>
      </c>
      <c r="O112" s="28">
        <v>230515</v>
      </c>
      <c r="P112" s="28">
        <v>3554</v>
      </c>
      <c r="Q112" s="28"/>
      <c r="R112" s="28"/>
      <c r="S112" s="28">
        <v>19</v>
      </c>
    </row>
    <row r="113" spans="1:19">
      <c r="A113" s="27" t="s">
        <v>13</v>
      </c>
      <c r="B113" s="28" t="s">
        <v>4</v>
      </c>
      <c r="C113" s="28" t="s">
        <v>8</v>
      </c>
      <c r="D113" s="28">
        <v>16</v>
      </c>
      <c r="E113" s="28">
        <v>3840</v>
      </c>
      <c r="F113" s="28">
        <v>2160</v>
      </c>
      <c r="G113" s="28">
        <v>198</v>
      </c>
      <c r="H113" s="28">
        <v>0.2</v>
      </c>
      <c r="I113" s="28">
        <f>Table14[[#This Row],[width_scalebar_mm]]/Table14[[#This Row],[width_scalebar_px]]</f>
        <v>1.0101010101010101E-3</v>
      </c>
      <c r="J113" s="28">
        <v>3</v>
      </c>
      <c r="K113" s="28">
        <v>3102081</v>
      </c>
      <c r="L113" s="28">
        <v>6290</v>
      </c>
      <c r="M113" s="28">
        <v>965854</v>
      </c>
      <c r="N113" s="28">
        <v>3505</v>
      </c>
      <c r="O113" s="28">
        <v>245860</v>
      </c>
      <c r="P113" s="28">
        <v>3436</v>
      </c>
      <c r="Q113" s="28"/>
      <c r="R113" s="28"/>
      <c r="S113" s="28">
        <v>19</v>
      </c>
    </row>
    <row r="114" spans="1:19">
      <c r="A114" s="27" t="s">
        <v>13</v>
      </c>
      <c r="B114" s="28" t="s">
        <v>4</v>
      </c>
      <c r="C114" s="28" t="s">
        <v>8</v>
      </c>
      <c r="D114" s="28">
        <v>17</v>
      </c>
      <c r="E114" s="28">
        <v>3840</v>
      </c>
      <c r="F114" s="28">
        <v>2160</v>
      </c>
      <c r="G114" s="28">
        <v>251</v>
      </c>
      <c r="H114" s="28">
        <v>0.5</v>
      </c>
      <c r="I114" s="28">
        <f>Table14[[#This Row],[width_scalebar_mm]]/Table14[[#This Row],[width_scalebar_px]]</f>
        <v>1.9920318725099601E-3</v>
      </c>
      <c r="J114" s="28">
        <v>2</v>
      </c>
      <c r="K114" s="28">
        <v>927970</v>
      </c>
      <c r="L114" s="28">
        <v>3438</v>
      </c>
      <c r="M114" s="28">
        <v>301150</v>
      </c>
      <c r="N114" s="28">
        <v>1960</v>
      </c>
      <c r="O114" s="28">
        <v>92627</v>
      </c>
      <c r="P114" s="28">
        <v>1577</v>
      </c>
      <c r="Q114" s="28"/>
      <c r="R114" s="28"/>
      <c r="S114" s="28">
        <v>19</v>
      </c>
    </row>
    <row r="115" spans="1:19">
      <c r="A115" s="27" t="s">
        <v>13</v>
      </c>
      <c r="B115" s="28" t="s">
        <v>4</v>
      </c>
      <c r="C115" s="28" t="s">
        <v>8</v>
      </c>
      <c r="D115" s="28">
        <v>18</v>
      </c>
      <c r="E115" s="28">
        <v>3840</v>
      </c>
      <c r="F115" s="28">
        <v>2160</v>
      </c>
      <c r="G115" s="28">
        <v>251</v>
      </c>
      <c r="H115" s="28">
        <v>0.5</v>
      </c>
      <c r="I115" s="28">
        <f>Table14[[#This Row],[width_scalebar_mm]]/Table14[[#This Row],[width_scalebar_px]]</f>
        <v>1.9920318725099601E-3</v>
      </c>
      <c r="J115" s="28">
        <v>0</v>
      </c>
      <c r="K115" s="28">
        <v>1269819</v>
      </c>
      <c r="L115" s="28">
        <v>4071</v>
      </c>
      <c r="M115" s="28">
        <v>420972</v>
      </c>
      <c r="N115" s="28">
        <v>2317</v>
      </c>
      <c r="O115" s="28">
        <v>157307</v>
      </c>
      <c r="P115" s="28">
        <v>2962</v>
      </c>
      <c r="Q115" s="28"/>
      <c r="R115" s="28"/>
      <c r="S115" s="28">
        <v>19</v>
      </c>
    </row>
    <row r="116" spans="1:19">
      <c r="A116" s="27" t="s">
        <v>13</v>
      </c>
      <c r="B116" s="28" t="s">
        <v>4</v>
      </c>
      <c r="C116" s="28" t="s">
        <v>8</v>
      </c>
      <c r="D116" s="28">
        <v>19</v>
      </c>
      <c r="E116" s="28">
        <v>3840</v>
      </c>
      <c r="F116" s="28">
        <v>2160</v>
      </c>
      <c r="G116" s="28">
        <v>251</v>
      </c>
      <c r="H116" s="28">
        <v>0.5</v>
      </c>
      <c r="I116" s="28">
        <f>Table14[[#This Row],[width_scalebar_mm]]/Table14[[#This Row],[width_scalebar_px]]</f>
        <v>1.9920318725099601E-3</v>
      </c>
      <c r="J116" s="28">
        <v>0</v>
      </c>
      <c r="K116" s="28">
        <v>2286891</v>
      </c>
      <c r="L116" s="28">
        <v>5391</v>
      </c>
      <c r="M116" s="28">
        <v>766046</v>
      </c>
      <c r="N116" s="28">
        <v>3123</v>
      </c>
      <c r="O116" s="28">
        <v>356728</v>
      </c>
      <c r="P116" s="28">
        <v>7199</v>
      </c>
      <c r="Q116" s="28"/>
      <c r="R116" s="28"/>
      <c r="S116" s="28">
        <v>20</v>
      </c>
    </row>
    <row r="117" spans="1:19">
      <c r="A117" s="19" t="s">
        <v>14</v>
      </c>
      <c r="B117" s="20" t="s">
        <v>4</v>
      </c>
      <c r="C117" s="20" t="s">
        <v>5</v>
      </c>
      <c r="D117" s="20">
        <v>1</v>
      </c>
      <c r="E117" s="20">
        <v>3840</v>
      </c>
      <c r="F117" s="20">
        <v>2160</v>
      </c>
      <c r="G117" s="20">
        <v>223</v>
      </c>
      <c r="H117" s="20">
        <v>0.2</v>
      </c>
      <c r="I117" s="20">
        <f>Table14[[#This Row],[width_scalebar_mm]]/Table14[[#This Row],[width_scalebar_px]]</f>
        <v>8.9686098654708521E-4</v>
      </c>
      <c r="J117" s="20">
        <v>3</v>
      </c>
      <c r="K117" s="20">
        <v>2173596</v>
      </c>
      <c r="L117" s="20">
        <v>5337</v>
      </c>
      <c r="M117" s="20">
        <v>443704</v>
      </c>
      <c r="N117" s="20">
        <v>2387</v>
      </c>
      <c r="O117" s="20">
        <v>44652</v>
      </c>
      <c r="P117" s="20">
        <v>1372</v>
      </c>
      <c r="Q117" s="20"/>
      <c r="R117" s="20"/>
      <c r="S117" s="20">
        <v>11</v>
      </c>
    </row>
    <row r="118" spans="1:19">
      <c r="A118" s="19" t="s">
        <v>14</v>
      </c>
      <c r="B118" s="20" t="s">
        <v>4</v>
      </c>
      <c r="C118" s="20" t="s">
        <v>5</v>
      </c>
      <c r="D118" s="20">
        <v>2</v>
      </c>
      <c r="E118" s="20">
        <v>3840</v>
      </c>
      <c r="F118" s="20">
        <v>2160</v>
      </c>
      <c r="G118" s="20">
        <v>223</v>
      </c>
      <c r="H118" s="20">
        <v>0.2</v>
      </c>
      <c r="I118" s="20">
        <f>Table14[[#This Row],[width_scalebar_mm]]/Table14[[#This Row],[width_scalebar_px]]</f>
        <v>8.9686098654708521E-4</v>
      </c>
      <c r="J118" s="20">
        <v>3</v>
      </c>
      <c r="K118" s="20">
        <v>2124723</v>
      </c>
      <c r="L118" s="20">
        <v>5273</v>
      </c>
      <c r="M118" s="20">
        <v>440979</v>
      </c>
      <c r="N118" s="20">
        <v>2374</v>
      </c>
      <c r="O118" s="20">
        <v>46131</v>
      </c>
      <c r="P118" s="20">
        <v>1582</v>
      </c>
      <c r="Q118" s="20"/>
      <c r="R118" s="20"/>
      <c r="S118" s="20">
        <v>11</v>
      </c>
    </row>
    <row r="119" spans="1:19">
      <c r="A119" s="19" t="s">
        <v>14</v>
      </c>
      <c r="B119" s="20" t="s">
        <v>4</v>
      </c>
      <c r="C119" s="20" t="s">
        <v>5</v>
      </c>
      <c r="D119" s="20">
        <v>3</v>
      </c>
      <c r="E119" s="20">
        <v>3840</v>
      </c>
      <c r="F119" s="20">
        <v>2160</v>
      </c>
      <c r="G119" s="20">
        <v>223</v>
      </c>
      <c r="H119" s="20">
        <v>0.2</v>
      </c>
      <c r="I119" s="20">
        <f>Table14[[#This Row],[width_scalebar_mm]]/Table14[[#This Row],[width_scalebar_px]]</f>
        <v>8.9686098654708521E-4</v>
      </c>
      <c r="J119" s="20">
        <v>3</v>
      </c>
      <c r="K119" s="20">
        <v>1951299</v>
      </c>
      <c r="L119" s="20">
        <v>5034</v>
      </c>
      <c r="M119" s="20">
        <v>418349</v>
      </c>
      <c r="N119" s="20">
        <v>2309</v>
      </c>
      <c r="O119" s="20">
        <v>36153</v>
      </c>
      <c r="P119" s="20">
        <v>1162</v>
      </c>
      <c r="Q119" s="20"/>
      <c r="R119" s="20"/>
      <c r="S119" s="20">
        <v>11</v>
      </c>
    </row>
    <row r="120" spans="1:19">
      <c r="A120" s="19" t="s">
        <v>14</v>
      </c>
      <c r="B120" s="20" t="s">
        <v>4</v>
      </c>
      <c r="C120" s="20" t="s">
        <v>5</v>
      </c>
      <c r="D120" s="20">
        <v>4</v>
      </c>
      <c r="E120" s="20">
        <v>3840</v>
      </c>
      <c r="F120" s="20">
        <v>2160</v>
      </c>
      <c r="G120" s="20">
        <v>223</v>
      </c>
      <c r="H120" s="20">
        <v>0.2</v>
      </c>
      <c r="I120" s="20">
        <f>Table14[[#This Row],[width_scalebar_mm]]/Table14[[#This Row],[width_scalebar_px]]</f>
        <v>8.9686098654708521E-4</v>
      </c>
      <c r="J120" s="20">
        <v>2</v>
      </c>
      <c r="K120" s="20">
        <v>2093388</v>
      </c>
      <c r="L120" s="20">
        <v>5214</v>
      </c>
      <c r="M120" s="20">
        <v>422868</v>
      </c>
      <c r="N120" s="20">
        <v>2319</v>
      </c>
      <c r="O120" s="20">
        <v>37457</v>
      </c>
      <c r="P120" s="20">
        <v>1105</v>
      </c>
      <c r="Q120" s="20"/>
      <c r="R120" s="20"/>
      <c r="S120" s="20">
        <v>11</v>
      </c>
    </row>
    <row r="121" spans="1:19">
      <c r="A121" s="19" t="s">
        <v>14</v>
      </c>
      <c r="B121" s="20" t="s">
        <v>4</v>
      </c>
      <c r="C121" s="20" t="s">
        <v>5</v>
      </c>
      <c r="D121" s="20">
        <v>5</v>
      </c>
      <c r="E121" s="20">
        <v>3840</v>
      </c>
      <c r="F121" s="20">
        <v>2160</v>
      </c>
      <c r="G121" s="20">
        <v>223</v>
      </c>
      <c r="H121" s="20">
        <v>0.2</v>
      </c>
      <c r="I121" s="20">
        <f>Table14[[#This Row],[width_scalebar_mm]]/Table14[[#This Row],[width_scalebar_px]]</f>
        <v>8.9686098654708521E-4</v>
      </c>
      <c r="J121" s="20">
        <v>3</v>
      </c>
      <c r="K121" s="20">
        <v>2449290</v>
      </c>
      <c r="L121" s="20">
        <v>5640</v>
      </c>
      <c r="M121" s="20">
        <v>441003</v>
      </c>
      <c r="N121" s="20">
        <v>2373</v>
      </c>
      <c r="O121" s="20">
        <v>40901</v>
      </c>
      <c r="P121" s="20">
        <v>1156</v>
      </c>
      <c r="Q121" s="20"/>
      <c r="R121" s="20"/>
      <c r="S121" s="20">
        <v>11</v>
      </c>
    </row>
    <row r="122" spans="1:19">
      <c r="A122" s="19" t="s">
        <v>14</v>
      </c>
      <c r="B122" s="20" t="s">
        <v>4</v>
      </c>
      <c r="C122" s="20" t="s">
        <v>5</v>
      </c>
      <c r="D122" s="20">
        <v>6</v>
      </c>
      <c r="E122" s="20">
        <v>3840</v>
      </c>
      <c r="F122" s="20">
        <v>2160</v>
      </c>
      <c r="G122" s="20">
        <v>223</v>
      </c>
      <c r="H122" s="20">
        <v>0.2</v>
      </c>
      <c r="I122" s="20">
        <f>Table14[[#This Row],[width_scalebar_mm]]/Table14[[#This Row],[width_scalebar_px]]</f>
        <v>8.9686098654708521E-4</v>
      </c>
      <c r="J122" s="20">
        <v>4</v>
      </c>
      <c r="K122" s="20">
        <v>2225892</v>
      </c>
      <c r="L122" s="20">
        <v>5345</v>
      </c>
      <c r="M122" s="20">
        <v>463078</v>
      </c>
      <c r="N122" s="20">
        <v>2430</v>
      </c>
      <c r="O122" s="20">
        <v>49494</v>
      </c>
      <c r="P122" s="20">
        <v>1301</v>
      </c>
      <c r="Q122" s="20"/>
      <c r="R122" s="20"/>
      <c r="S122" s="20">
        <v>11</v>
      </c>
    </row>
    <row r="123" spans="1:19">
      <c r="A123" s="19" t="s">
        <v>14</v>
      </c>
      <c r="B123" s="20" t="s">
        <v>4</v>
      </c>
      <c r="C123" s="20" t="s">
        <v>5</v>
      </c>
      <c r="D123" s="20">
        <v>7</v>
      </c>
      <c r="E123" s="20">
        <v>3840</v>
      </c>
      <c r="F123" s="20">
        <v>2160</v>
      </c>
      <c r="G123" s="20">
        <v>223</v>
      </c>
      <c r="H123" s="20">
        <v>0.2</v>
      </c>
      <c r="I123" s="20">
        <f>Table14[[#This Row],[width_scalebar_mm]]/Table14[[#This Row],[width_scalebar_px]]</f>
        <v>8.9686098654708521E-4</v>
      </c>
      <c r="J123" s="20">
        <v>2</v>
      </c>
      <c r="K123" s="20">
        <v>2279040</v>
      </c>
      <c r="L123" s="20">
        <v>5377</v>
      </c>
      <c r="M123" s="20">
        <v>494314</v>
      </c>
      <c r="N123" s="20">
        <v>2509</v>
      </c>
      <c r="O123" s="20">
        <v>58974</v>
      </c>
      <c r="P123" s="20">
        <v>1182</v>
      </c>
      <c r="Q123" s="20"/>
      <c r="R123" s="20"/>
      <c r="S123" s="20">
        <v>11</v>
      </c>
    </row>
    <row r="124" spans="1:19">
      <c r="A124" s="19" t="s">
        <v>14</v>
      </c>
      <c r="B124" s="20" t="s">
        <v>4</v>
      </c>
      <c r="C124" s="20" t="s">
        <v>5</v>
      </c>
      <c r="D124" s="20">
        <v>8</v>
      </c>
      <c r="E124" s="20">
        <v>3840</v>
      </c>
      <c r="F124" s="20">
        <v>2160</v>
      </c>
      <c r="G124" s="20">
        <v>223</v>
      </c>
      <c r="H124" s="20">
        <v>0.2</v>
      </c>
      <c r="I124" s="20">
        <f>Table14[[#This Row],[width_scalebar_mm]]/Table14[[#This Row],[width_scalebar_px]]</f>
        <v>8.9686098654708521E-4</v>
      </c>
      <c r="J124" s="20">
        <v>2</v>
      </c>
      <c r="K124" s="20">
        <v>2627337</v>
      </c>
      <c r="L124" s="20">
        <v>5782</v>
      </c>
      <c r="M124" s="20">
        <v>637863</v>
      </c>
      <c r="N124" s="20">
        <v>2851</v>
      </c>
      <c r="O124" s="20">
        <v>113465</v>
      </c>
      <c r="P124" s="20">
        <v>1919</v>
      </c>
      <c r="Q124" s="20"/>
      <c r="R124" s="20"/>
      <c r="S124" s="20">
        <v>12</v>
      </c>
    </row>
    <row r="125" spans="1:19">
      <c r="A125" s="19" t="s">
        <v>14</v>
      </c>
      <c r="B125" s="20" t="s">
        <v>4</v>
      </c>
      <c r="C125" s="20" t="s">
        <v>5</v>
      </c>
      <c r="D125" s="20">
        <v>9</v>
      </c>
      <c r="E125" s="20">
        <v>3840</v>
      </c>
      <c r="F125" s="20">
        <v>2160</v>
      </c>
      <c r="G125" s="20">
        <v>244</v>
      </c>
      <c r="H125" s="20">
        <v>0.5</v>
      </c>
      <c r="I125" s="20">
        <f>Table14[[#This Row],[width_scalebar_mm]]/Table14[[#This Row],[width_scalebar_px]]</f>
        <v>2.0491803278688526E-3</v>
      </c>
      <c r="J125" s="20">
        <v>2</v>
      </c>
      <c r="K125" s="20">
        <v>1121625</v>
      </c>
      <c r="L125" s="20">
        <v>3782</v>
      </c>
      <c r="M125" s="20">
        <v>289447</v>
      </c>
      <c r="N125" s="20">
        <v>1919</v>
      </c>
      <c r="O125" s="20">
        <v>88038</v>
      </c>
      <c r="P125" s="20">
        <v>2125</v>
      </c>
      <c r="Q125" s="20"/>
      <c r="R125" s="20"/>
      <c r="S125" s="20">
        <v>14</v>
      </c>
    </row>
    <row r="126" spans="1:19">
      <c r="A126" s="27" t="s">
        <v>15</v>
      </c>
      <c r="B126" s="28" t="s">
        <v>4</v>
      </c>
      <c r="C126" s="28" t="s">
        <v>8</v>
      </c>
      <c r="D126" s="28">
        <v>1</v>
      </c>
      <c r="E126" s="28">
        <v>3840</v>
      </c>
      <c r="F126" s="28">
        <v>2160</v>
      </c>
      <c r="G126" s="28">
        <v>236</v>
      </c>
      <c r="H126" s="28">
        <v>0.2</v>
      </c>
      <c r="I126" s="28">
        <f>Table14[[#This Row],[width_scalebar_mm]]/Table14[[#This Row],[width_scalebar_px]]</f>
        <v>8.4745762711864415E-4</v>
      </c>
      <c r="J126" s="28">
        <v>0</v>
      </c>
      <c r="K126" s="28">
        <v>2215596</v>
      </c>
      <c r="L126" s="28">
        <v>5506</v>
      </c>
      <c r="M126" s="28">
        <v>298600</v>
      </c>
      <c r="N126" s="28">
        <v>1979</v>
      </c>
      <c r="O126" s="28">
        <v>19251</v>
      </c>
      <c r="P126" s="28">
        <v>661</v>
      </c>
      <c r="Q126" s="28"/>
      <c r="R126" s="28"/>
      <c r="S126" s="28" t="s">
        <v>287</v>
      </c>
    </row>
    <row r="127" spans="1:19">
      <c r="A127" s="27" t="s">
        <v>15</v>
      </c>
      <c r="B127" s="28" t="s">
        <v>4</v>
      </c>
      <c r="C127" s="28" t="s">
        <v>8</v>
      </c>
      <c r="D127" s="28">
        <v>2</v>
      </c>
      <c r="E127" s="28">
        <v>3840</v>
      </c>
      <c r="F127" s="28">
        <v>2160</v>
      </c>
      <c r="G127" s="28">
        <v>236</v>
      </c>
      <c r="H127" s="28">
        <v>0.2</v>
      </c>
      <c r="I127" s="28">
        <f>Table14[[#This Row],[width_scalebar_mm]]/Table14[[#This Row],[width_scalebar_px]]</f>
        <v>8.4745762711864415E-4</v>
      </c>
      <c r="J127" s="28">
        <v>0</v>
      </c>
      <c r="K127" s="28">
        <v>1692696</v>
      </c>
      <c r="L127" s="28">
        <v>4948</v>
      </c>
      <c r="M127" s="28">
        <v>291896</v>
      </c>
      <c r="N127" s="28">
        <v>1945</v>
      </c>
      <c r="O127" s="28">
        <v>24341</v>
      </c>
      <c r="P127" s="28">
        <v>749</v>
      </c>
      <c r="Q127" s="28"/>
      <c r="R127" s="28"/>
      <c r="S127" s="28">
        <v>10</v>
      </c>
    </row>
    <row r="128" spans="1:19">
      <c r="A128" s="27" t="s">
        <v>15</v>
      </c>
      <c r="B128" s="28" t="s">
        <v>4</v>
      </c>
      <c r="C128" s="28" t="s">
        <v>8</v>
      </c>
      <c r="D128" s="28">
        <v>3</v>
      </c>
      <c r="E128" s="28">
        <v>3840</v>
      </c>
      <c r="F128" s="28">
        <v>2160</v>
      </c>
      <c r="G128" s="28">
        <v>236</v>
      </c>
      <c r="H128" s="28">
        <v>0.2</v>
      </c>
      <c r="I128" s="28">
        <f>Table14[[#This Row],[width_scalebar_mm]]/Table14[[#This Row],[width_scalebar_px]]</f>
        <v>8.4745762711864415E-4</v>
      </c>
      <c r="J128" s="28">
        <v>0</v>
      </c>
      <c r="K128" s="28">
        <v>1770939</v>
      </c>
      <c r="L128" s="28">
        <v>5086</v>
      </c>
      <c r="M128" s="28">
        <v>308900</v>
      </c>
      <c r="N128" s="28">
        <v>1992</v>
      </c>
      <c r="O128" s="28">
        <v>21297</v>
      </c>
      <c r="P128" s="28">
        <v>723</v>
      </c>
      <c r="Q128" s="28"/>
      <c r="R128" s="28"/>
      <c r="S128" s="28">
        <v>10</v>
      </c>
    </row>
    <row r="129" spans="1:19">
      <c r="A129" s="27" t="s">
        <v>15</v>
      </c>
      <c r="B129" s="28" t="s">
        <v>4</v>
      </c>
      <c r="C129" s="28" t="s">
        <v>8</v>
      </c>
      <c r="D129" s="28">
        <v>4</v>
      </c>
      <c r="E129" s="28">
        <v>3840</v>
      </c>
      <c r="F129" s="28">
        <v>2160</v>
      </c>
      <c r="G129" s="28">
        <v>236</v>
      </c>
      <c r="H129" s="28">
        <v>0.2</v>
      </c>
      <c r="I129" s="28">
        <f>Table14[[#This Row],[width_scalebar_mm]]/Table14[[#This Row],[width_scalebar_px]]</f>
        <v>8.4745762711864415E-4</v>
      </c>
      <c r="J129" s="28">
        <v>0</v>
      </c>
      <c r="K129" s="28">
        <v>2031102</v>
      </c>
      <c r="L129" s="28">
        <v>5671</v>
      </c>
      <c r="M129" s="28">
        <v>344375</v>
      </c>
      <c r="N129" s="28">
        <v>2110</v>
      </c>
      <c r="O129" s="28">
        <v>22934</v>
      </c>
      <c r="P129" s="28">
        <v>711</v>
      </c>
      <c r="Q129" s="28"/>
      <c r="R129" s="28"/>
      <c r="S129" s="28">
        <v>11</v>
      </c>
    </row>
    <row r="130" spans="1:19">
      <c r="A130" s="27" t="s">
        <v>15</v>
      </c>
      <c r="B130" s="28" t="s">
        <v>4</v>
      </c>
      <c r="C130" s="28" t="s">
        <v>8</v>
      </c>
      <c r="D130" s="28">
        <v>5</v>
      </c>
      <c r="E130" s="28">
        <v>3840</v>
      </c>
      <c r="F130" s="28">
        <v>2160</v>
      </c>
      <c r="G130" s="28">
        <v>236</v>
      </c>
      <c r="H130" s="28">
        <v>0.2</v>
      </c>
      <c r="I130" s="28">
        <f>Table14[[#This Row],[width_scalebar_mm]]/Table14[[#This Row],[width_scalebar_px]]</f>
        <v>8.4745762711864415E-4</v>
      </c>
      <c r="J130" s="28">
        <v>0</v>
      </c>
      <c r="K130" s="28">
        <v>1882443</v>
      </c>
      <c r="L130" s="28">
        <v>5074</v>
      </c>
      <c r="M130" s="28">
        <v>341213</v>
      </c>
      <c r="N130" s="28">
        <v>2094</v>
      </c>
      <c r="O130" s="28">
        <v>27188</v>
      </c>
      <c r="P130" s="28">
        <v>849</v>
      </c>
      <c r="Q130" s="28"/>
      <c r="R130" s="28"/>
      <c r="S130" s="28">
        <v>11</v>
      </c>
    </row>
    <row r="131" spans="1:19">
      <c r="A131" s="27" t="s">
        <v>15</v>
      </c>
      <c r="B131" s="28" t="s">
        <v>4</v>
      </c>
      <c r="C131" s="28" t="s">
        <v>8</v>
      </c>
      <c r="D131" s="28">
        <v>6</v>
      </c>
      <c r="E131" s="28">
        <v>3840</v>
      </c>
      <c r="F131" s="28">
        <v>2160</v>
      </c>
      <c r="G131" s="28">
        <v>236</v>
      </c>
      <c r="H131" s="28">
        <v>0.2</v>
      </c>
      <c r="I131" s="28">
        <f>Table14[[#This Row],[width_scalebar_mm]]/Table14[[#This Row],[width_scalebar_px]]</f>
        <v>8.4745762711864415E-4</v>
      </c>
      <c r="J131" s="28">
        <v>0</v>
      </c>
      <c r="K131" s="28">
        <v>1659663</v>
      </c>
      <c r="L131" s="28">
        <v>4958</v>
      </c>
      <c r="M131" s="28">
        <v>334037</v>
      </c>
      <c r="N131" s="28">
        <v>2077</v>
      </c>
      <c r="O131" s="28">
        <v>24819</v>
      </c>
      <c r="P131" s="28">
        <v>788</v>
      </c>
      <c r="Q131" s="28"/>
      <c r="R131" s="28"/>
      <c r="S131" s="28">
        <v>11</v>
      </c>
    </row>
    <row r="132" spans="1:19">
      <c r="A132" s="27" t="s">
        <v>15</v>
      </c>
      <c r="B132" s="28" t="s">
        <v>4</v>
      </c>
      <c r="C132" s="28" t="s">
        <v>8</v>
      </c>
      <c r="D132" s="28">
        <v>7</v>
      </c>
      <c r="E132" s="28">
        <v>3840</v>
      </c>
      <c r="F132" s="28">
        <v>2160</v>
      </c>
      <c r="G132" s="28">
        <v>251</v>
      </c>
      <c r="H132" s="28">
        <v>0.5</v>
      </c>
      <c r="I132" s="28">
        <f>Table14[[#This Row],[width_scalebar_mm]]/Table14[[#This Row],[width_scalebar_px]]</f>
        <v>1.9920318725099601E-3</v>
      </c>
      <c r="J132" s="28">
        <v>1</v>
      </c>
      <c r="K132" s="28">
        <v>688833</v>
      </c>
      <c r="L132" s="28">
        <v>3392</v>
      </c>
      <c r="M132" s="28">
        <v>117703</v>
      </c>
      <c r="N132" s="28">
        <v>1456</v>
      </c>
      <c r="O132" s="28">
        <v>9344</v>
      </c>
      <c r="P132" s="28">
        <v>500</v>
      </c>
      <c r="Q132" s="28"/>
      <c r="R132" s="28"/>
      <c r="S132" s="28">
        <v>9</v>
      </c>
    </row>
    <row r="133" spans="1:19">
      <c r="A133" s="27" t="s">
        <v>15</v>
      </c>
      <c r="B133" s="28" t="s">
        <v>4</v>
      </c>
      <c r="C133" s="28" t="s">
        <v>8</v>
      </c>
      <c r="D133" s="28">
        <v>8</v>
      </c>
      <c r="E133" s="28">
        <v>3840</v>
      </c>
      <c r="F133" s="28">
        <v>2160</v>
      </c>
      <c r="G133" s="28">
        <v>251</v>
      </c>
      <c r="H133" s="28">
        <v>0.5</v>
      </c>
      <c r="I133" s="28">
        <f>Table14[[#This Row],[width_scalebar_mm]]/Table14[[#This Row],[width_scalebar_px]]</f>
        <v>1.9920318725099601E-3</v>
      </c>
      <c r="J133" s="28">
        <v>1</v>
      </c>
      <c r="K133" s="28">
        <v>456225</v>
      </c>
      <c r="L133" s="28">
        <v>2470</v>
      </c>
      <c r="M133" s="28">
        <v>108496</v>
      </c>
      <c r="N133" s="28">
        <v>1177</v>
      </c>
      <c r="O133" s="28">
        <v>10917</v>
      </c>
      <c r="P133" s="28">
        <v>574</v>
      </c>
      <c r="Q133" s="28"/>
      <c r="R133" s="28"/>
      <c r="S133" s="28">
        <v>11</v>
      </c>
    </row>
    <row r="134" spans="1:19">
      <c r="A134" s="27" t="s">
        <v>15</v>
      </c>
      <c r="B134" s="28" t="s">
        <v>4</v>
      </c>
      <c r="C134" s="28" t="s">
        <v>8</v>
      </c>
      <c r="D134" s="28">
        <v>9</v>
      </c>
      <c r="E134" s="28">
        <v>3840</v>
      </c>
      <c r="F134" s="28">
        <v>2160</v>
      </c>
      <c r="G134" s="28">
        <v>448</v>
      </c>
      <c r="H134" s="28">
        <v>0.5</v>
      </c>
      <c r="I134" s="28">
        <f>Table14[[#This Row],[width_scalebar_mm]]/Table14[[#This Row],[width_scalebar_px]]</f>
        <v>1.1160714285714285E-3</v>
      </c>
      <c r="J134" s="28">
        <v>0</v>
      </c>
      <c r="K134" s="28">
        <v>1505697</v>
      </c>
      <c r="L134" s="28">
        <v>4525</v>
      </c>
      <c r="M134" s="28">
        <v>375988</v>
      </c>
      <c r="N134" s="28">
        <v>2206</v>
      </c>
      <c r="O134" s="28">
        <v>30848</v>
      </c>
      <c r="P134" s="28">
        <v>833</v>
      </c>
      <c r="Q134" s="28"/>
      <c r="R134" s="28"/>
      <c r="S134" s="28">
        <v>13</v>
      </c>
    </row>
    <row r="135" spans="1:19">
      <c r="A135" s="27" t="s">
        <v>15</v>
      </c>
      <c r="B135" s="28" t="s">
        <v>4</v>
      </c>
      <c r="C135" s="28" t="s">
        <v>8</v>
      </c>
      <c r="D135" s="28">
        <v>10</v>
      </c>
      <c r="E135" s="28">
        <v>3840</v>
      </c>
      <c r="F135" s="28">
        <v>2160</v>
      </c>
      <c r="G135" s="28">
        <v>208</v>
      </c>
      <c r="H135" s="28">
        <v>0.2</v>
      </c>
      <c r="I135" s="28">
        <f>Table14[[#This Row],[width_scalebar_mm]]/Table14[[#This Row],[width_scalebar_px]]</f>
        <v>9.6153846153846159E-4</v>
      </c>
      <c r="J135" s="28">
        <v>2</v>
      </c>
      <c r="K135" s="28">
        <v>1744188</v>
      </c>
      <c r="L135" s="28">
        <v>4795</v>
      </c>
      <c r="M135" s="28">
        <v>480941</v>
      </c>
      <c r="N135" s="28">
        <v>2474</v>
      </c>
      <c r="O135" s="28">
        <v>57784</v>
      </c>
      <c r="P135" s="28">
        <v>1950</v>
      </c>
      <c r="Q135" s="28"/>
      <c r="R135" s="28"/>
      <c r="S135" s="28">
        <v>13</v>
      </c>
    </row>
    <row r="136" spans="1:19">
      <c r="A136" s="27" t="s">
        <v>15</v>
      </c>
      <c r="B136" s="28" t="s">
        <v>4</v>
      </c>
      <c r="C136" s="28" t="s">
        <v>8</v>
      </c>
      <c r="D136" s="28">
        <v>11</v>
      </c>
      <c r="E136" s="28">
        <v>3840</v>
      </c>
      <c r="F136" s="28">
        <v>2160</v>
      </c>
      <c r="G136" s="28">
        <v>208</v>
      </c>
      <c r="H136" s="28">
        <v>0.2</v>
      </c>
      <c r="I136" s="28">
        <f>Table14[[#This Row],[width_scalebar_mm]]/Table14[[#This Row],[width_scalebar_px]]</f>
        <v>9.6153846153846159E-4</v>
      </c>
      <c r="J136" s="28">
        <v>4</v>
      </c>
      <c r="K136" s="28">
        <v>1796310</v>
      </c>
      <c r="L136" s="28">
        <v>5015</v>
      </c>
      <c r="M136" s="28">
        <v>467195</v>
      </c>
      <c r="N136" s="28">
        <v>2443</v>
      </c>
      <c r="O136" s="28">
        <v>51260</v>
      </c>
      <c r="P136" s="28">
        <v>1545</v>
      </c>
      <c r="Q136" s="28"/>
      <c r="R136" s="28"/>
      <c r="S136" s="28">
        <v>13</v>
      </c>
    </row>
    <row r="137" spans="1:19">
      <c r="A137" s="27" t="s">
        <v>15</v>
      </c>
      <c r="B137" s="28" t="s">
        <v>4</v>
      </c>
      <c r="C137" s="28" t="s">
        <v>8</v>
      </c>
      <c r="D137" s="28">
        <v>12</v>
      </c>
      <c r="E137" s="28">
        <v>3840</v>
      </c>
      <c r="F137" s="28">
        <v>2160</v>
      </c>
      <c r="G137" s="28">
        <v>208</v>
      </c>
      <c r="H137" s="28">
        <v>0.2</v>
      </c>
      <c r="I137" s="28">
        <f>Table14[[#This Row],[width_scalebar_mm]]/Table14[[#This Row],[width_scalebar_px]]</f>
        <v>9.6153846153846159E-4</v>
      </c>
      <c r="J137" s="28">
        <v>4</v>
      </c>
      <c r="K137" s="28">
        <v>2086347</v>
      </c>
      <c r="L137" s="28">
        <v>5215</v>
      </c>
      <c r="M137" s="28">
        <v>500657</v>
      </c>
      <c r="N137" s="28">
        <v>2549</v>
      </c>
      <c r="O137" s="28">
        <v>56285</v>
      </c>
      <c r="P137" s="28">
        <v>1529</v>
      </c>
      <c r="Q137" s="28"/>
      <c r="R137" s="28"/>
      <c r="S137" s="28">
        <v>14</v>
      </c>
    </row>
    <row r="138" spans="1:19">
      <c r="A138" s="27" t="s">
        <v>15</v>
      </c>
      <c r="B138" s="28" t="s">
        <v>4</v>
      </c>
      <c r="C138" s="28" t="s">
        <v>8</v>
      </c>
      <c r="D138" s="28">
        <v>13</v>
      </c>
      <c r="E138" s="28">
        <v>3840</v>
      </c>
      <c r="F138" s="28">
        <v>2160</v>
      </c>
      <c r="G138" s="28">
        <v>208</v>
      </c>
      <c r="H138" s="28">
        <v>0.2</v>
      </c>
      <c r="I138" s="28">
        <f>Table14[[#This Row],[width_scalebar_mm]]/Table14[[#This Row],[width_scalebar_px]]</f>
        <v>9.6153846153846159E-4</v>
      </c>
      <c r="J138" s="28">
        <v>4</v>
      </c>
      <c r="K138" s="28">
        <v>2436723</v>
      </c>
      <c r="L138" s="28">
        <v>5625</v>
      </c>
      <c r="M138" s="28">
        <v>559008</v>
      </c>
      <c r="N138" s="28">
        <v>2666</v>
      </c>
      <c r="O138" s="28">
        <v>79939</v>
      </c>
      <c r="P138" s="28">
        <v>1680</v>
      </c>
      <c r="Q138" s="28"/>
      <c r="R138" s="28"/>
      <c r="S138" s="28">
        <v>14</v>
      </c>
    </row>
    <row r="139" spans="1:19">
      <c r="A139" s="27" t="s">
        <v>15</v>
      </c>
      <c r="B139" s="28" t="s">
        <v>4</v>
      </c>
      <c r="C139" s="28" t="s">
        <v>8</v>
      </c>
      <c r="D139" s="28">
        <v>14</v>
      </c>
      <c r="E139" s="28">
        <v>3840</v>
      </c>
      <c r="F139" s="28">
        <v>2160</v>
      </c>
      <c r="G139" s="28">
        <v>208</v>
      </c>
      <c r="H139" s="28">
        <v>0.2</v>
      </c>
      <c r="I139" s="28">
        <f>Table14[[#This Row],[width_scalebar_mm]]/Table14[[#This Row],[width_scalebar_px]]</f>
        <v>9.6153846153846159E-4</v>
      </c>
      <c r="J139" s="28">
        <v>4</v>
      </c>
      <c r="K139" s="28">
        <v>2235060</v>
      </c>
      <c r="L139" s="28">
        <v>5345</v>
      </c>
      <c r="M139" s="28">
        <v>558544</v>
      </c>
      <c r="N139" s="28">
        <v>2688</v>
      </c>
      <c r="O139" s="28">
        <v>81143</v>
      </c>
      <c r="P139" s="28">
        <v>1874</v>
      </c>
      <c r="Q139" s="28"/>
      <c r="R139" s="28"/>
      <c r="S139" s="28">
        <v>14</v>
      </c>
    </row>
    <row r="140" spans="1:19">
      <c r="A140" s="27" t="s">
        <v>15</v>
      </c>
      <c r="B140" s="28" t="s">
        <v>4</v>
      </c>
      <c r="C140" s="28" t="s">
        <v>8</v>
      </c>
      <c r="D140" s="28">
        <v>15</v>
      </c>
      <c r="E140" s="28">
        <v>3840</v>
      </c>
      <c r="F140" s="28">
        <v>2160</v>
      </c>
      <c r="G140" s="28">
        <v>208</v>
      </c>
      <c r="H140" s="28">
        <v>0.2</v>
      </c>
      <c r="I140" s="28">
        <f>Table14[[#This Row],[width_scalebar_mm]]/Table14[[#This Row],[width_scalebar_px]]</f>
        <v>9.6153846153846159E-4</v>
      </c>
      <c r="J140" s="28">
        <v>3</v>
      </c>
      <c r="K140" s="28">
        <v>2459106</v>
      </c>
      <c r="L140" s="28">
        <v>5582</v>
      </c>
      <c r="M140" s="28">
        <v>631949</v>
      </c>
      <c r="N140" s="28">
        <v>2836</v>
      </c>
      <c r="O140" s="28">
        <v>128740</v>
      </c>
      <c r="P140" s="28">
        <v>2714</v>
      </c>
      <c r="Q140" s="28"/>
      <c r="R140" s="28"/>
      <c r="S140" s="28">
        <v>15</v>
      </c>
    </row>
    <row r="141" spans="1:19">
      <c r="A141" s="27" t="s">
        <v>15</v>
      </c>
      <c r="B141" s="28" t="s">
        <v>4</v>
      </c>
      <c r="C141" s="28" t="s">
        <v>8</v>
      </c>
      <c r="D141" s="28">
        <v>16</v>
      </c>
      <c r="E141" s="28">
        <v>3840</v>
      </c>
      <c r="F141" s="28">
        <v>2160</v>
      </c>
      <c r="G141" s="28">
        <v>208</v>
      </c>
      <c r="H141" s="28">
        <v>0.2</v>
      </c>
      <c r="I141" s="28">
        <f>Table14[[#This Row],[width_scalebar_mm]]/Table14[[#This Row],[width_scalebar_px]]</f>
        <v>9.6153846153846159E-4</v>
      </c>
      <c r="J141" s="28">
        <v>3</v>
      </c>
      <c r="K141" s="28">
        <v>2918472</v>
      </c>
      <c r="L141" s="28">
        <v>6101</v>
      </c>
      <c r="M141" s="28">
        <v>745083</v>
      </c>
      <c r="N141" s="28">
        <v>3080</v>
      </c>
      <c r="O141" s="28">
        <v>157431</v>
      </c>
      <c r="P141" s="28">
        <v>3224</v>
      </c>
      <c r="Q141" s="28"/>
      <c r="R141" s="28"/>
      <c r="S141" s="28">
        <v>17</v>
      </c>
    </row>
    <row r="142" spans="1:19">
      <c r="A142" s="27" t="s">
        <v>15</v>
      </c>
      <c r="B142" s="28" t="s">
        <v>4</v>
      </c>
      <c r="C142" s="28" t="s">
        <v>8</v>
      </c>
      <c r="D142" s="28">
        <v>17</v>
      </c>
      <c r="E142" s="28">
        <v>3840</v>
      </c>
      <c r="F142" s="28">
        <v>2160</v>
      </c>
      <c r="G142" s="28">
        <v>426</v>
      </c>
      <c r="H142" s="28">
        <v>1</v>
      </c>
      <c r="I142" s="28">
        <f>Table14[[#This Row],[width_scalebar_mm]]/Table14[[#This Row],[width_scalebar_px]]</f>
        <v>2.3474178403755869E-3</v>
      </c>
      <c r="J142" s="28">
        <v>2</v>
      </c>
      <c r="K142" s="28">
        <v>658187</v>
      </c>
      <c r="L142" s="28">
        <v>2890</v>
      </c>
      <c r="M142" s="28">
        <v>177517</v>
      </c>
      <c r="N142" s="28">
        <v>1506</v>
      </c>
      <c r="O142" s="28">
        <v>49417</v>
      </c>
      <c r="P142" s="28">
        <v>1300</v>
      </c>
      <c r="Q142" s="28"/>
      <c r="R142" s="28"/>
      <c r="S142" s="28">
        <v>18</v>
      </c>
    </row>
    <row r="143" spans="1:19">
      <c r="A143" s="27" t="s">
        <v>15</v>
      </c>
      <c r="B143" s="28" t="s">
        <v>4</v>
      </c>
      <c r="C143" s="28" t="s">
        <v>8</v>
      </c>
      <c r="D143" s="28">
        <v>18</v>
      </c>
      <c r="E143" s="28">
        <v>3840</v>
      </c>
      <c r="F143" s="28">
        <v>2160</v>
      </c>
      <c r="G143" s="28">
        <v>426</v>
      </c>
      <c r="H143" s="28">
        <v>1</v>
      </c>
      <c r="I143" s="28">
        <f>Table14[[#This Row],[width_scalebar_mm]]/Table14[[#This Row],[width_scalebar_px]]</f>
        <v>2.3474178403755869E-3</v>
      </c>
      <c r="J143" s="28">
        <v>1</v>
      </c>
      <c r="K143" s="28">
        <v>800525</v>
      </c>
      <c r="L143" s="28">
        <v>3198</v>
      </c>
      <c r="M143" s="28">
        <v>250483</v>
      </c>
      <c r="N143" s="28">
        <v>1791</v>
      </c>
      <c r="O143" s="28">
        <v>89155</v>
      </c>
      <c r="P143" s="28">
        <v>1518</v>
      </c>
      <c r="Q143" s="28"/>
      <c r="R143" s="28"/>
      <c r="S143" s="28">
        <v>18</v>
      </c>
    </row>
    <row r="144" spans="1:19">
      <c r="A144" s="19" t="s">
        <v>16</v>
      </c>
      <c r="B144" s="20" t="s">
        <v>4</v>
      </c>
      <c r="C144" s="20" t="s">
        <v>8</v>
      </c>
      <c r="D144" s="20">
        <v>1</v>
      </c>
      <c r="E144" s="20">
        <v>3840</v>
      </c>
      <c r="F144" s="20">
        <v>2160</v>
      </c>
      <c r="G144" s="20">
        <v>229</v>
      </c>
      <c r="H144" s="20">
        <v>0.2</v>
      </c>
      <c r="I144" s="20">
        <f>Table14[[#This Row],[width_scalebar_mm]]/Table14[[#This Row],[width_scalebar_px]]</f>
        <v>8.7336244541484718E-4</v>
      </c>
      <c r="J144" s="20">
        <v>4</v>
      </c>
      <c r="K144" s="20">
        <v>3149169</v>
      </c>
      <c r="L144" s="20">
        <v>6322</v>
      </c>
      <c r="M144" s="20">
        <v>721824</v>
      </c>
      <c r="N144" s="20">
        <v>3039</v>
      </c>
      <c r="O144" s="20">
        <v>138778</v>
      </c>
      <c r="P144" s="20">
        <v>2535</v>
      </c>
      <c r="Q144" s="20"/>
      <c r="R144" s="20"/>
      <c r="S144" s="20">
        <v>16</v>
      </c>
    </row>
    <row r="145" spans="1:19">
      <c r="A145" s="19" t="s">
        <v>16</v>
      </c>
      <c r="B145" s="20" t="s">
        <v>4</v>
      </c>
      <c r="C145" s="20" t="s">
        <v>8</v>
      </c>
      <c r="D145" s="20">
        <v>2</v>
      </c>
      <c r="E145" s="20">
        <v>3840</v>
      </c>
      <c r="F145" s="20">
        <v>2160</v>
      </c>
      <c r="G145" s="20">
        <v>229</v>
      </c>
      <c r="H145" s="20">
        <v>0.2</v>
      </c>
      <c r="I145" s="20">
        <f>Table14[[#This Row],[width_scalebar_mm]]/Table14[[#This Row],[width_scalebar_px]]</f>
        <v>8.7336244541484718E-4</v>
      </c>
      <c r="J145" s="20">
        <v>4</v>
      </c>
      <c r="K145" s="20">
        <v>3224688</v>
      </c>
      <c r="L145" s="20">
        <v>6427</v>
      </c>
      <c r="M145" s="20">
        <v>755883</v>
      </c>
      <c r="N145" s="20">
        <v>3104</v>
      </c>
      <c r="O145" s="20">
        <v>138637</v>
      </c>
      <c r="P145" s="20">
        <v>2147</v>
      </c>
      <c r="Q145" s="20"/>
      <c r="R145" s="20"/>
      <c r="S145" s="20">
        <v>16</v>
      </c>
    </row>
    <row r="146" spans="1:19">
      <c r="A146" s="19" t="s">
        <v>16</v>
      </c>
      <c r="B146" s="20" t="s">
        <v>4</v>
      </c>
      <c r="C146" s="20" t="s">
        <v>8</v>
      </c>
      <c r="D146" s="20">
        <v>3</v>
      </c>
      <c r="E146" s="20">
        <v>3840</v>
      </c>
      <c r="F146" s="20">
        <v>2160</v>
      </c>
      <c r="G146" s="20">
        <v>229</v>
      </c>
      <c r="H146" s="20">
        <v>0.2</v>
      </c>
      <c r="I146" s="20">
        <f>Table14[[#This Row],[width_scalebar_mm]]/Table14[[#This Row],[width_scalebar_px]]</f>
        <v>8.7336244541484718E-4</v>
      </c>
      <c r="J146" s="20">
        <v>4</v>
      </c>
      <c r="K146" s="20">
        <v>3198768</v>
      </c>
      <c r="L146" s="20">
        <v>6378</v>
      </c>
      <c r="M146" s="20">
        <v>764806</v>
      </c>
      <c r="N146" s="20">
        <v>3119</v>
      </c>
      <c r="O146" s="20">
        <v>145558</v>
      </c>
      <c r="P146" s="20">
        <v>2094</v>
      </c>
      <c r="Q146" s="20"/>
      <c r="R146" s="20"/>
      <c r="S146" s="20">
        <v>16</v>
      </c>
    </row>
    <row r="147" spans="1:19">
      <c r="A147" s="19" t="s">
        <v>16</v>
      </c>
      <c r="B147" s="20" t="s">
        <v>4</v>
      </c>
      <c r="C147" s="20" t="s">
        <v>8</v>
      </c>
      <c r="D147" s="20">
        <v>4</v>
      </c>
      <c r="E147" s="20">
        <v>3840</v>
      </c>
      <c r="F147" s="20">
        <v>2160</v>
      </c>
      <c r="G147" s="20">
        <v>229</v>
      </c>
      <c r="H147" s="20">
        <v>0.2</v>
      </c>
      <c r="I147" s="20">
        <f>Table14[[#This Row],[width_scalebar_mm]]/Table14[[#This Row],[width_scalebar_px]]</f>
        <v>8.7336244541484718E-4</v>
      </c>
      <c r="J147" s="20">
        <v>4</v>
      </c>
      <c r="K147" s="20">
        <v>3214350</v>
      </c>
      <c r="L147" s="20">
        <v>6441</v>
      </c>
      <c r="M147" s="20">
        <v>828553</v>
      </c>
      <c r="N147" s="20">
        <v>3252</v>
      </c>
      <c r="O147" s="20">
        <v>158198</v>
      </c>
      <c r="P147" s="20">
        <v>2374</v>
      </c>
      <c r="Q147" s="20"/>
      <c r="R147" s="20"/>
      <c r="S147" s="20">
        <v>17</v>
      </c>
    </row>
    <row r="148" spans="1:19">
      <c r="A148" s="19" t="s">
        <v>16</v>
      </c>
      <c r="B148" s="20" t="s">
        <v>4</v>
      </c>
      <c r="C148" s="20" t="s">
        <v>8</v>
      </c>
      <c r="D148" s="20">
        <v>5</v>
      </c>
      <c r="E148" s="20">
        <v>3840</v>
      </c>
      <c r="F148" s="20">
        <v>2160</v>
      </c>
      <c r="G148" s="20">
        <v>229</v>
      </c>
      <c r="H148" s="20">
        <v>0.2</v>
      </c>
      <c r="I148" s="20">
        <f>Table14[[#This Row],[width_scalebar_mm]]/Table14[[#This Row],[width_scalebar_px]]</f>
        <v>8.7336244541484718E-4</v>
      </c>
      <c r="J148" s="20">
        <v>4</v>
      </c>
      <c r="K148" s="20">
        <v>3431154</v>
      </c>
      <c r="L148" s="20">
        <v>6615</v>
      </c>
      <c r="M148" s="20">
        <v>891904</v>
      </c>
      <c r="N148" s="20">
        <v>3373</v>
      </c>
      <c r="O148" s="20">
        <v>200210</v>
      </c>
      <c r="P148" s="20">
        <v>3001</v>
      </c>
      <c r="Q148" s="20"/>
      <c r="R148" s="20"/>
      <c r="S148" s="20">
        <v>17</v>
      </c>
    </row>
    <row r="149" spans="1:19">
      <c r="A149" s="19" t="s">
        <v>16</v>
      </c>
      <c r="B149" s="20" t="s">
        <v>4</v>
      </c>
      <c r="C149" s="20" t="s">
        <v>8</v>
      </c>
      <c r="D149" s="20">
        <v>6</v>
      </c>
      <c r="E149" s="20">
        <v>3840</v>
      </c>
      <c r="F149" s="20">
        <v>2160</v>
      </c>
      <c r="G149" s="20">
        <v>405</v>
      </c>
      <c r="H149" s="20">
        <v>1</v>
      </c>
      <c r="I149" s="20">
        <f>Table14[[#This Row],[width_scalebar_mm]]/Table14[[#This Row],[width_scalebar_px]]</f>
        <v>2.4691358024691358E-3</v>
      </c>
      <c r="J149" s="20">
        <v>4</v>
      </c>
      <c r="K149" s="20">
        <v>465743</v>
      </c>
      <c r="L149" s="20">
        <v>2440</v>
      </c>
      <c r="M149" s="20">
        <v>125634</v>
      </c>
      <c r="N149" s="20">
        <v>1271</v>
      </c>
      <c r="O149" s="20">
        <v>28308</v>
      </c>
      <c r="P149" s="20">
        <v>838</v>
      </c>
      <c r="Q149" s="20"/>
      <c r="R149" s="20"/>
      <c r="S149" s="20">
        <v>18</v>
      </c>
    </row>
    <row r="150" spans="1:19">
      <c r="A150" s="19" t="s">
        <v>16</v>
      </c>
      <c r="B150" s="20" t="s">
        <v>4</v>
      </c>
      <c r="C150" s="20" t="s">
        <v>8</v>
      </c>
      <c r="D150" s="20">
        <v>7</v>
      </c>
      <c r="E150" s="20">
        <v>3840</v>
      </c>
      <c r="F150" s="20">
        <v>2160</v>
      </c>
      <c r="G150" s="20">
        <v>405</v>
      </c>
      <c r="H150" s="20">
        <v>1</v>
      </c>
      <c r="I150" s="20">
        <f>Table14[[#This Row],[width_scalebar_mm]]/Table14[[#This Row],[width_scalebar_px]]</f>
        <v>2.4691358024691358E-3</v>
      </c>
      <c r="J150" s="20">
        <v>4</v>
      </c>
      <c r="K150" s="20">
        <v>492394</v>
      </c>
      <c r="L150" s="20">
        <v>2508</v>
      </c>
      <c r="M150" s="20">
        <v>142160</v>
      </c>
      <c r="N150" s="20">
        <v>1347</v>
      </c>
      <c r="O150" s="20">
        <v>36629</v>
      </c>
      <c r="P150" s="20">
        <v>816</v>
      </c>
      <c r="Q150" s="20"/>
      <c r="R150" s="20"/>
      <c r="S150" s="20">
        <v>18</v>
      </c>
    </row>
    <row r="151" spans="1:19">
      <c r="A151" s="19" t="s">
        <v>16</v>
      </c>
      <c r="B151" s="20" t="s">
        <v>4</v>
      </c>
      <c r="C151" s="20" t="s">
        <v>8</v>
      </c>
      <c r="D151" s="20">
        <v>8</v>
      </c>
      <c r="E151" s="20">
        <v>3840</v>
      </c>
      <c r="F151" s="20">
        <v>2160</v>
      </c>
      <c r="G151" s="20">
        <v>405</v>
      </c>
      <c r="H151" s="20">
        <v>1</v>
      </c>
      <c r="I151" s="20">
        <f>Table14[[#This Row],[width_scalebar_mm]]/Table14[[#This Row],[width_scalebar_px]]</f>
        <v>2.4691358024691358E-3</v>
      </c>
      <c r="J151" s="20">
        <v>4</v>
      </c>
      <c r="K151" s="20">
        <v>611318</v>
      </c>
      <c r="L151" s="20">
        <v>2784</v>
      </c>
      <c r="M151" s="20">
        <v>166101</v>
      </c>
      <c r="N151" s="20">
        <v>1457</v>
      </c>
      <c r="O151" s="20">
        <v>47066</v>
      </c>
      <c r="P151" s="20">
        <v>942</v>
      </c>
      <c r="Q151" s="20"/>
      <c r="R151" s="20"/>
      <c r="S151" s="20">
        <v>20</v>
      </c>
    </row>
    <row r="152" spans="1:19">
      <c r="A152" s="19" t="s">
        <v>16</v>
      </c>
      <c r="B152" s="20" t="s">
        <v>4</v>
      </c>
      <c r="C152" s="20" t="s">
        <v>8</v>
      </c>
      <c r="D152" s="20">
        <v>9</v>
      </c>
      <c r="E152" s="20">
        <v>3840</v>
      </c>
      <c r="F152" s="20">
        <v>2160</v>
      </c>
      <c r="G152" s="20">
        <v>405</v>
      </c>
      <c r="H152" s="20">
        <v>1</v>
      </c>
      <c r="I152" s="20">
        <f>Table14[[#This Row],[width_scalebar_mm]]/Table14[[#This Row],[width_scalebar_px]]</f>
        <v>2.4691358024691358E-3</v>
      </c>
      <c r="J152" s="20">
        <v>3</v>
      </c>
      <c r="K152" s="20">
        <v>665226</v>
      </c>
      <c r="L152" s="20">
        <v>2906</v>
      </c>
      <c r="M152" s="20">
        <v>186528</v>
      </c>
      <c r="N152" s="20">
        <v>1544</v>
      </c>
      <c r="O152" s="20">
        <v>59761</v>
      </c>
      <c r="P152" s="20">
        <v>1198</v>
      </c>
      <c r="Q152" s="20"/>
      <c r="R152" s="20"/>
      <c r="S152" s="20">
        <v>21</v>
      </c>
    </row>
    <row r="153" spans="1:19">
      <c r="A153" s="19" t="s">
        <v>16</v>
      </c>
      <c r="B153" s="20" t="s">
        <v>4</v>
      </c>
      <c r="C153" s="20" t="s">
        <v>8</v>
      </c>
      <c r="D153" s="20">
        <v>10</v>
      </c>
      <c r="E153" s="20">
        <v>3840</v>
      </c>
      <c r="F153" s="20">
        <v>2160</v>
      </c>
      <c r="G153" s="20">
        <v>405</v>
      </c>
      <c r="H153" s="20">
        <v>1</v>
      </c>
      <c r="I153" s="20">
        <f>Table14[[#This Row],[width_scalebar_mm]]/Table14[[#This Row],[width_scalebar_px]]</f>
        <v>2.4691358024691358E-3</v>
      </c>
      <c r="J153" s="20">
        <v>3</v>
      </c>
      <c r="K153" s="20">
        <v>684215</v>
      </c>
      <c r="L153" s="20">
        <v>2953</v>
      </c>
      <c r="M153" s="20">
        <v>215424</v>
      </c>
      <c r="N153" s="20">
        <v>1658</v>
      </c>
      <c r="O153" s="20">
        <v>77981</v>
      </c>
      <c r="P153" s="20">
        <v>1301</v>
      </c>
      <c r="Q153" s="20"/>
      <c r="R153" s="20"/>
      <c r="S153" s="20">
        <v>21</v>
      </c>
    </row>
    <row r="154" spans="1:19">
      <c r="A154" s="19" t="s">
        <v>16</v>
      </c>
      <c r="B154" s="20" t="s">
        <v>4</v>
      </c>
      <c r="C154" s="20" t="s">
        <v>8</v>
      </c>
      <c r="D154" s="20">
        <v>11</v>
      </c>
      <c r="E154" s="20">
        <v>3840</v>
      </c>
      <c r="F154" s="20">
        <v>2160</v>
      </c>
      <c r="G154" s="20">
        <v>405</v>
      </c>
      <c r="H154" s="20">
        <v>1</v>
      </c>
      <c r="I154" s="20">
        <f>Table14[[#This Row],[width_scalebar_mm]]/Table14[[#This Row],[width_scalebar_px]]</f>
        <v>2.4691358024691358E-3</v>
      </c>
      <c r="J154" s="20">
        <v>0</v>
      </c>
      <c r="K154" s="20">
        <v>1011436</v>
      </c>
      <c r="L154" s="20">
        <v>3585</v>
      </c>
      <c r="M154" s="20">
        <v>350114</v>
      </c>
      <c r="N154" s="20">
        <v>2109</v>
      </c>
      <c r="O154" s="20">
        <v>157582</v>
      </c>
      <c r="P154" s="20">
        <v>2271</v>
      </c>
      <c r="Q154" s="20"/>
      <c r="R154" s="20"/>
      <c r="S154" s="20">
        <v>21</v>
      </c>
    </row>
    <row r="155" spans="1:19">
      <c r="A155" s="27" t="s">
        <v>17</v>
      </c>
      <c r="B155" s="28" t="s">
        <v>4</v>
      </c>
      <c r="C155" s="28" t="s">
        <v>5</v>
      </c>
      <c r="D155" s="28">
        <v>1</v>
      </c>
      <c r="E155" s="28">
        <v>3840</v>
      </c>
      <c r="F155" s="28">
        <v>2160</v>
      </c>
      <c r="G155" s="28">
        <v>423</v>
      </c>
      <c r="H155" s="28">
        <v>1</v>
      </c>
      <c r="I155" s="28">
        <f>Table14[[#This Row],[width_scalebar_mm]]/Table14[[#This Row],[width_scalebar_px]]</f>
        <v>2.3640661938534278E-3</v>
      </c>
      <c r="J155" s="28">
        <v>4</v>
      </c>
      <c r="K155" s="28">
        <v>595905</v>
      </c>
      <c r="L155" s="28">
        <v>2773</v>
      </c>
      <c r="M155" s="28">
        <v>72223</v>
      </c>
      <c r="N155" s="28">
        <v>978</v>
      </c>
      <c r="O155" s="28" t="s">
        <v>287</v>
      </c>
      <c r="P155" s="28" t="s">
        <v>287</v>
      </c>
      <c r="Q155" s="28"/>
      <c r="R155" s="28"/>
      <c r="S155" s="28" t="s">
        <v>287</v>
      </c>
    </row>
    <row r="156" spans="1:19">
      <c r="A156" s="27" t="s">
        <v>17</v>
      </c>
      <c r="B156" s="28" t="s">
        <v>4</v>
      </c>
      <c r="C156" s="28" t="s">
        <v>5</v>
      </c>
      <c r="D156" s="28">
        <v>2</v>
      </c>
      <c r="E156" s="28">
        <v>3840</v>
      </c>
      <c r="F156" s="28">
        <v>2160</v>
      </c>
      <c r="G156" s="28">
        <v>465</v>
      </c>
      <c r="H156" s="28">
        <v>1</v>
      </c>
      <c r="I156" s="28">
        <f>Table14[[#This Row],[width_scalebar_mm]]/Table14[[#This Row],[width_scalebar_px]]</f>
        <v>2.1505376344086021E-3</v>
      </c>
      <c r="J156" s="28">
        <v>3</v>
      </c>
      <c r="K156" s="28">
        <v>858280</v>
      </c>
      <c r="L156" s="28">
        <v>3312</v>
      </c>
      <c r="M156" s="28">
        <v>144171</v>
      </c>
      <c r="N156" s="28">
        <v>1362</v>
      </c>
      <c r="O156" s="28">
        <v>16540</v>
      </c>
      <c r="P156" s="28">
        <v>529</v>
      </c>
      <c r="Q156" s="28"/>
      <c r="R156" s="28"/>
      <c r="S156" s="28" t="s">
        <v>287</v>
      </c>
    </row>
    <row r="157" spans="1:19">
      <c r="A157" s="27" t="s">
        <v>17</v>
      </c>
      <c r="B157" s="28" t="s">
        <v>4</v>
      </c>
      <c r="C157" s="28" t="s">
        <v>5</v>
      </c>
      <c r="D157" s="28">
        <v>3</v>
      </c>
      <c r="E157" s="28">
        <v>3840</v>
      </c>
      <c r="F157" s="28">
        <v>2160</v>
      </c>
      <c r="G157" s="28">
        <v>465</v>
      </c>
      <c r="H157" s="28">
        <v>1</v>
      </c>
      <c r="I157" s="28">
        <f>Table14[[#This Row],[width_scalebar_mm]]/Table14[[#This Row],[width_scalebar_px]]</f>
        <v>2.1505376344086021E-3</v>
      </c>
      <c r="J157" s="28">
        <v>3</v>
      </c>
      <c r="K157" s="28">
        <v>605565</v>
      </c>
      <c r="L157" s="28">
        <v>2825</v>
      </c>
      <c r="M157" s="28">
        <v>130551</v>
      </c>
      <c r="N157" s="28">
        <v>1295</v>
      </c>
      <c r="O157" s="28">
        <v>14726</v>
      </c>
      <c r="P157" s="28">
        <v>495</v>
      </c>
      <c r="Q157" s="28"/>
      <c r="R157" s="28"/>
      <c r="S157" s="28">
        <v>14</v>
      </c>
    </row>
    <row r="158" spans="1:19">
      <c r="A158" s="27" t="s">
        <v>17</v>
      </c>
      <c r="B158" s="28" t="s">
        <v>4</v>
      </c>
      <c r="C158" s="28" t="s">
        <v>5</v>
      </c>
      <c r="D158" s="28">
        <v>4</v>
      </c>
      <c r="E158" s="28">
        <v>3840</v>
      </c>
      <c r="F158" s="28">
        <v>2160</v>
      </c>
      <c r="G158" s="28">
        <v>276</v>
      </c>
      <c r="H158" s="28">
        <v>0.5</v>
      </c>
      <c r="I158" s="28">
        <f>Table14[[#This Row],[width_scalebar_mm]]/Table14[[#This Row],[width_scalebar_px]]</f>
        <v>1.8115942028985507E-3</v>
      </c>
      <c r="J158" s="28">
        <v>4</v>
      </c>
      <c r="K158" s="28">
        <v>738220</v>
      </c>
      <c r="L158" s="28">
        <v>3070</v>
      </c>
      <c r="M158" s="28">
        <v>158516</v>
      </c>
      <c r="N158" s="28">
        <v>1423</v>
      </c>
      <c r="O158" s="28">
        <v>19779</v>
      </c>
      <c r="P158" s="28">
        <v>669</v>
      </c>
      <c r="Q158" s="28"/>
      <c r="R158" s="28"/>
      <c r="S158" s="28">
        <v>14</v>
      </c>
    </row>
    <row r="159" spans="1:19">
      <c r="A159" s="27" t="s">
        <v>17</v>
      </c>
      <c r="B159" s="28" t="s">
        <v>4</v>
      </c>
      <c r="C159" s="28" t="s">
        <v>5</v>
      </c>
      <c r="D159" s="28">
        <v>5</v>
      </c>
      <c r="E159" s="28">
        <v>3840</v>
      </c>
      <c r="F159" s="28">
        <v>2160</v>
      </c>
      <c r="G159" s="28">
        <v>276</v>
      </c>
      <c r="H159" s="28">
        <v>0.5</v>
      </c>
      <c r="I159" s="28">
        <f>Table14[[#This Row],[width_scalebar_mm]]/Table14[[#This Row],[width_scalebar_px]]</f>
        <v>1.8115942028985507E-3</v>
      </c>
      <c r="J159" s="28">
        <v>4</v>
      </c>
      <c r="K159" s="28">
        <v>761047</v>
      </c>
      <c r="L159" s="28">
        <v>3113</v>
      </c>
      <c r="M159" s="28">
        <v>164037</v>
      </c>
      <c r="N159" s="28">
        <v>1446</v>
      </c>
      <c r="O159" s="28">
        <v>29228</v>
      </c>
      <c r="P159" s="28">
        <v>1101</v>
      </c>
      <c r="Q159" s="28"/>
      <c r="R159" s="28"/>
      <c r="S159" s="28">
        <v>14</v>
      </c>
    </row>
    <row r="160" spans="1:19">
      <c r="A160" s="27" t="s">
        <v>17</v>
      </c>
      <c r="B160" s="28" t="s">
        <v>4</v>
      </c>
      <c r="C160" s="28" t="s">
        <v>5</v>
      </c>
      <c r="D160" s="28">
        <v>6</v>
      </c>
      <c r="E160" s="28">
        <v>3840</v>
      </c>
      <c r="F160" s="28">
        <v>2160</v>
      </c>
      <c r="G160" s="28">
        <v>276</v>
      </c>
      <c r="H160" s="28">
        <v>0.5</v>
      </c>
      <c r="I160" s="28">
        <f>Table14[[#This Row],[width_scalebar_mm]]/Table14[[#This Row],[width_scalebar_px]]</f>
        <v>1.8115942028985507E-3</v>
      </c>
      <c r="J160" s="28">
        <v>4</v>
      </c>
      <c r="K160" s="28">
        <v>783283</v>
      </c>
      <c r="L160" s="28">
        <v>3165</v>
      </c>
      <c r="M160" s="28">
        <v>180501</v>
      </c>
      <c r="N160" s="28">
        <v>1515</v>
      </c>
      <c r="O160" s="28">
        <v>26244</v>
      </c>
      <c r="P160" s="28">
        <v>740</v>
      </c>
      <c r="Q160" s="28"/>
      <c r="R160" s="28"/>
      <c r="S160" s="28">
        <v>14</v>
      </c>
    </row>
    <row r="161" spans="1:19">
      <c r="A161" s="27" t="s">
        <v>17</v>
      </c>
      <c r="B161" s="28" t="s">
        <v>4</v>
      </c>
      <c r="C161" s="28" t="s">
        <v>5</v>
      </c>
      <c r="D161" s="28">
        <v>7</v>
      </c>
      <c r="E161" s="28">
        <v>3840</v>
      </c>
      <c r="F161" s="28">
        <v>2160</v>
      </c>
      <c r="G161" s="28">
        <v>276</v>
      </c>
      <c r="H161" s="28">
        <v>0.5</v>
      </c>
      <c r="I161" s="28">
        <f>Table14[[#This Row],[width_scalebar_mm]]/Table14[[#This Row],[width_scalebar_px]]</f>
        <v>1.8115942028985507E-3</v>
      </c>
      <c r="J161" s="28">
        <v>4</v>
      </c>
      <c r="K161" s="28">
        <v>780993</v>
      </c>
      <c r="L161" s="28">
        <v>3154</v>
      </c>
      <c r="M161" s="28">
        <v>184263</v>
      </c>
      <c r="N161" s="28">
        <v>1540</v>
      </c>
      <c r="O161" s="28">
        <v>25957</v>
      </c>
      <c r="P161" s="28">
        <v>870</v>
      </c>
      <c r="Q161" s="28"/>
      <c r="R161" s="28"/>
      <c r="S161" s="28">
        <v>14</v>
      </c>
    </row>
    <row r="162" spans="1:19">
      <c r="A162" s="27" t="s">
        <v>17</v>
      </c>
      <c r="B162" s="28" t="s">
        <v>4</v>
      </c>
      <c r="C162" s="28" t="s">
        <v>5</v>
      </c>
      <c r="D162" s="28">
        <v>8</v>
      </c>
      <c r="E162" s="28">
        <v>3840</v>
      </c>
      <c r="F162" s="28">
        <v>2160</v>
      </c>
      <c r="G162" s="28">
        <v>457</v>
      </c>
      <c r="H162" s="28">
        <v>1</v>
      </c>
      <c r="I162" s="28">
        <f>Table14[[#This Row],[width_scalebar_mm]]/Table14[[#This Row],[width_scalebar_px]]</f>
        <v>2.1881838074398249E-3</v>
      </c>
      <c r="J162" s="28">
        <v>4</v>
      </c>
      <c r="K162" s="28">
        <v>513643</v>
      </c>
      <c r="L162" s="28">
        <v>2569</v>
      </c>
      <c r="M162" s="28">
        <v>132618</v>
      </c>
      <c r="N162" s="28">
        <v>1299</v>
      </c>
      <c r="O162" s="28">
        <v>17493</v>
      </c>
      <c r="P162" s="28">
        <v>679</v>
      </c>
      <c r="Q162" s="28"/>
      <c r="R162" s="28"/>
      <c r="S162" s="28">
        <v>14</v>
      </c>
    </row>
    <row r="163" spans="1:19">
      <c r="A163" s="27" t="s">
        <v>17</v>
      </c>
      <c r="B163" s="28" t="s">
        <v>4</v>
      </c>
      <c r="C163" s="28" t="s">
        <v>5</v>
      </c>
      <c r="D163" s="28">
        <v>9</v>
      </c>
      <c r="E163" s="28">
        <v>3840</v>
      </c>
      <c r="F163" s="28">
        <v>2160</v>
      </c>
      <c r="G163" s="28">
        <v>295</v>
      </c>
      <c r="H163" s="28">
        <v>0.5</v>
      </c>
      <c r="I163" s="28">
        <f>Table14[[#This Row],[width_scalebar_mm]]/Table14[[#This Row],[width_scalebar_px]]</f>
        <v>1.6949152542372881E-3</v>
      </c>
      <c r="J163" s="28">
        <v>4</v>
      </c>
      <c r="K163" s="28">
        <v>947099</v>
      </c>
      <c r="L163" s="28">
        <v>3468</v>
      </c>
      <c r="M163" s="28">
        <v>257107</v>
      </c>
      <c r="N163" s="28">
        <v>1813</v>
      </c>
      <c r="O163" s="28">
        <v>57374</v>
      </c>
      <c r="P163" s="28">
        <v>1506</v>
      </c>
      <c r="Q163" s="28"/>
      <c r="R163" s="28"/>
      <c r="S163" s="28">
        <v>15</v>
      </c>
    </row>
    <row r="164" spans="1:19">
      <c r="A164" s="27" t="s">
        <v>17</v>
      </c>
      <c r="B164" s="28" t="s">
        <v>4</v>
      </c>
      <c r="C164" s="28" t="s">
        <v>5</v>
      </c>
      <c r="D164" s="28">
        <v>10</v>
      </c>
      <c r="E164" s="28">
        <v>3840</v>
      </c>
      <c r="F164" s="28">
        <v>2160</v>
      </c>
      <c r="G164" s="28">
        <v>295</v>
      </c>
      <c r="H164" s="28">
        <v>0.5</v>
      </c>
      <c r="I164" s="28">
        <f>Table14[[#This Row],[width_scalebar_mm]]/Table14[[#This Row],[width_scalebar_px]]</f>
        <v>1.6949152542372881E-3</v>
      </c>
      <c r="J164" s="28">
        <v>4</v>
      </c>
      <c r="K164" s="28">
        <v>954258</v>
      </c>
      <c r="L164" s="28">
        <v>3490</v>
      </c>
      <c r="M164" s="28">
        <v>279646</v>
      </c>
      <c r="N164" s="28">
        <v>1889</v>
      </c>
      <c r="O164" s="28">
        <v>54750</v>
      </c>
      <c r="P164" s="28">
        <v>1487</v>
      </c>
      <c r="Q164" s="28"/>
      <c r="R164" s="28"/>
      <c r="S164" s="28">
        <v>15</v>
      </c>
    </row>
    <row r="165" spans="1:19">
      <c r="A165" s="27" t="s">
        <v>17</v>
      </c>
      <c r="B165" s="28" t="s">
        <v>4</v>
      </c>
      <c r="C165" s="28" t="s">
        <v>5</v>
      </c>
      <c r="D165" s="28">
        <v>11</v>
      </c>
      <c r="E165" s="28">
        <v>3840</v>
      </c>
      <c r="F165" s="28">
        <v>2160</v>
      </c>
      <c r="G165" s="28">
        <v>295</v>
      </c>
      <c r="H165" s="28">
        <v>0.5</v>
      </c>
      <c r="I165" s="28">
        <f>Table14[[#This Row],[width_scalebar_mm]]/Table14[[#This Row],[width_scalebar_px]]</f>
        <v>1.6949152542372881E-3</v>
      </c>
      <c r="J165" s="28">
        <v>4</v>
      </c>
      <c r="K165" s="28">
        <v>1305732</v>
      </c>
      <c r="L165" s="28">
        <v>4102</v>
      </c>
      <c r="M165" s="28">
        <v>336398</v>
      </c>
      <c r="N165" s="28">
        <v>2074</v>
      </c>
      <c r="O165" s="28">
        <v>74384</v>
      </c>
      <c r="P165" s="28">
        <v>2217</v>
      </c>
      <c r="Q165" s="28"/>
      <c r="R165" s="28"/>
      <c r="S165" s="28">
        <v>15</v>
      </c>
    </row>
    <row r="166" spans="1:19">
      <c r="A166" s="27" t="s">
        <v>17</v>
      </c>
      <c r="B166" s="28" t="s">
        <v>4</v>
      </c>
      <c r="C166" s="28" t="s">
        <v>5</v>
      </c>
      <c r="D166" s="28">
        <v>12</v>
      </c>
      <c r="E166" s="28">
        <v>3840</v>
      </c>
      <c r="F166" s="28">
        <v>2160</v>
      </c>
      <c r="G166" s="28">
        <v>251</v>
      </c>
      <c r="H166" s="28">
        <v>0.5</v>
      </c>
      <c r="I166" s="28">
        <f>Table14[[#This Row],[width_scalebar_mm]]/Table14[[#This Row],[width_scalebar_px]]</f>
        <v>1.9920318725099601E-3</v>
      </c>
      <c r="J166" s="28">
        <v>4</v>
      </c>
      <c r="K166" s="28">
        <v>1019040</v>
      </c>
      <c r="L166" s="28">
        <v>3604</v>
      </c>
      <c r="M166" s="28">
        <v>296970</v>
      </c>
      <c r="N166" s="28">
        <v>1943</v>
      </c>
      <c r="O166" s="28">
        <v>84497</v>
      </c>
      <c r="P166" s="28">
        <v>1379</v>
      </c>
      <c r="Q166" s="28"/>
      <c r="R166" s="28"/>
      <c r="S166" s="28">
        <v>17</v>
      </c>
    </row>
    <row r="167" spans="1:19">
      <c r="A167" s="27" t="s">
        <v>17</v>
      </c>
      <c r="B167" s="28" t="s">
        <v>4</v>
      </c>
      <c r="C167" s="28" t="s">
        <v>5</v>
      </c>
      <c r="D167" s="28">
        <v>13</v>
      </c>
      <c r="E167" s="28">
        <v>3840</v>
      </c>
      <c r="F167" s="28">
        <v>2160</v>
      </c>
      <c r="G167" s="28">
        <v>251</v>
      </c>
      <c r="H167" s="28">
        <v>0.5</v>
      </c>
      <c r="I167" s="28">
        <f>Table14[[#This Row],[width_scalebar_mm]]/Table14[[#This Row],[width_scalebar_px]]</f>
        <v>1.9920318725099601E-3</v>
      </c>
      <c r="J167" s="28">
        <v>4</v>
      </c>
      <c r="K167" s="28">
        <v>1648638</v>
      </c>
      <c r="L167" s="28">
        <v>4577</v>
      </c>
      <c r="M167" s="28">
        <v>477117</v>
      </c>
      <c r="N167" s="28">
        <v>2466</v>
      </c>
      <c r="O167" s="28">
        <v>194645</v>
      </c>
      <c r="P167" s="28">
        <v>2398</v>
      </c>
      <c r="Q167" s="28"/>
      <c r="R167" s="28"/>
      <c r="S167" s="28">
        <v>20</v>
      </c>
    </row>
    <row r="168" spans="1:19">
      <c r="A168" s="19" t="s">
        <v>18</v>
      </c>
      <c r="B168" s="20" t="s">
        <v>4</v>
      </c>
      <c r="C168" s="20" t="s">
        <v>8</v>
      </c>
      <c r="D168" s="20">
        <v>1</v>
      </c>
      <c r="E168" s="20">
        <v>3840</v>
      </c>
      <c r="F168" s="20">
        <v>2160</v>
      </c>
      <c r="G168" s="20">
        <v>297</v>
      </c>
      <c r="H168" s="20">
        <v>0.5</v>
      </c>
      <c r="I168" s="20">
        <f>Table14[[#This Row],[width_scalebar_mm]]/Table14[[#This Row],[width_scalebar_px]]</f>
        <v>1.6835016835016834E-3</v>
      </c>
      <c r="J168" s="20">
        <v>2</v>
      </c>
      <c r="K168" s="20">
        <v>752433</v>
      </c>
      <c r="L168" s="20">
        <v>3629</v>
      </c>
      <c r="M168" s="20">
        <v>127720</v>
      </c>
      <c r="N168" s="20">
        <v>1309</v>
      </c>
      <c r="O168" s="20">
        <v>19474</v>
      </c>
      <c r="P168" s="20">
        <v>632</v>
      </c>
      <c r="Q168" s="20"/>
      <c r="R168" s="20"/>
      <c r="S168" s="20" t="s">
        <v>287</v>
      </c>
    </row>
    <row r="169" spans="1:19">
      <c r="A169" s="19" t="s">
        <v>18</v>
      </c>
      <c r="B169" s="20" t="s">
        <v>4</v>
      </c>
      <c r="C169" s="20" t="s">
        <v>8</v>
      </c>
      <c r="D169" s="20">
        <v>2</v>
      </c>
      <c r="E169" s="20">
        <v>3840</v>
      </c>
      <c r="F169" s="20">
        <v>2160</v>
      </c>
      <c r="G169" s="20">
        <v>467</v>
      </c>
      <c r="H169" s="20">
        <v>0.5</v>
      </c>
      <c r="I169" s="20">
        <f>Table14[[#This Row],[width_scalebar_mm]]/Table14[[#This Row],[width_scalebar_px]]</f>
        <v>1.0706638115631692E-3</v>
      </c>
      <c r="J169" s="20">
        <v>0</v>
      </c>
      <c r="K169" s="20">
        <v>1611372</v>
      </c>
      <c r="L169" s="20">
        <v>4745</v>
      </c>
      <c r="M169" s="20">
        <v>352972</v>
      </c>
      <c r="N169" s="20">
        <v>2141</v>
      </c>
      <c r="O169" s="20">
        <v>49784</v>
      </c>
      <c r="P169" s="20">
        <v>1155</v>
      </c>
      <c r="Q169" s="20"/>
      <c r="R169" s="20"/>
      <c r="S169" s="20">
        <v>13</v>
      </c>
    </row>
    <row r="170" spans="1:19">
      <c r="A170" s="19" t="s">
        <v>18</v>
      </c>
      <c r="B170" s="20" t="s">
        <v>4</v>
      </c>
      <c r="C170" s="20" t="s">
        <v>8</v>
      </c>
      <c r="D170" s="20">
        <v>3</v>
      </c>
      <c r="E170" s="20">
        <v>3840</v>
      </c>
      <c r="F170" s="20">
        <v>2160</v>
      </c>
      <c r="G170" s="20">
        <v>467</v>
      </c>
      <c r="H170" s="20">
        <v>0.5</v>
      </c>
      <c r="I170" s="20">
        <f>Table14[[#This Row],[width_scalebar_mm]]/Table14[[#This Row],[width_scalebar_px]]</f>
        <v>1.0706638115631692E-3</v>
      </c>
      <c r="J170" s="20">
        <v>2</v>
      </c>
      <c r="K170" s="20">
        <v>1703094</v>
      </c>
      <c r="L170" s="20">
        <v>4793</v>
      </c>
      <c r="M170" s="20">
        <v>388009</v>
      </c>
      <c r="N170" s="20">
        <v>2239</v>
      </c>
      <c r="O170" s="20">
        <v>57399</v>
      </c>
      <c r="P170" s="20">
        <v>1334</v>
      </c>
      <c r="Q170" s="20"/>
      <c r="R170" s="20"/>
      <c r="S170" s="20">
        <v>13</v>
      </c>
    </row>
    <row r="171" spans="1:19">
      <c r="A171" s="19" t="s">
        <v>18</v>
      </c>
      <c r="B171" s="20" t="s">
        <v>4</v>
      </c>
      <c r="C171" s="20" t="s">
        <v>8</v>
      </c>
      <c r="D171" s="20">
        <v>4</v>
      </c>
      <c r="E171" s="20">
        <v>3840</v>
      </c>
      <c r="F171" s="20">
        <v>2160</v>
      </c>
      <c r="G171" s="20">
        <v>467</v>
      </c>
      <c r="H171" s="20">
        <v>0.5</v>
      </c>
      <c r="I171" s="20">
        <f>Table14[[#This Row],[width_scalebar_mm]]/Table14[[#This Row],[width_scalebar_px]]</f>
        <v>1.0706638115631692E-3</v>
      </c>
      <c r="J171" s="20">
        <v>2</v>
      </c>
      <c r="K171" s="20">
        <v>2128146</v>
      </c>
      <c r="L171" s="20">
        <v>5224</v>
      </c>
      <c r="M171" s="20">
        <v>440070</v>
      </c>
      <c r="N171" s="20">
        <v>2367</v>
      </c>
      <c r="O171" s="20">
        <v>72723</v>
      </c>
      <c r="P171" s="20">
        <v>1536</v>
      </c>
      <c r="Q171" s="20"/>
      <c r="R171" s="20"/>
      <c r="S171" s="20">
        <v>13</v>
      </c>
    </row>
    <row r="172" spans="1:19">
      <c r="A172" s="19" t="s">
        <v>18</v>
      </c>
      <c r="B172" s="20" t="s">
        <v>4</v>
      </c>
      <c r="C172" s="20" t="s">
        <v>8</v>
      </c>
      <c r="D172" s="20">
        <v>5</v>
      </c>
      <c r="E172" s="20">
        <v>3840</v>
      </c>
      <c r="F172" s="20">
        <v>2160</v>
      </c>
      <c r="G172" s="20">
        <v>467</v>
      </c>
      <c r="H172" s="20">
        <v>0.5</v>
      </c>
      <c r="I172" s="20">
        <f>Table14[[#This Row],[width_scalebar_mm]]/Table14[[#This Row],[width_scalebar_px]]</f>
        <v>1.0706638115631692E-3</v>
      </c>
      <c r="J172" s="20">
        <v>2</v>
      </c>
      <c r="K172" s="20">
        <v>1793367</v>
      </c>
      <c r="L172" s="20">
        <v>4799</v>
      </c>
      <c r="M172" s="20">
        <v>420681</v>
      </c>
      <c r="N172" s="20">
        <v>2316</v>
      </c>
      <c r="O172" s="20">
        <v>70235</v>
      </c>
      <c r="P172" s="20">
        <v>1374</v>
      </c>
      <c r="Q172" s="20"/>
      <c r="R172" s="20"/>
      <c r="S172" s="20">
        <v>14</v>
      </c>
    </row>
    <row r="173" spans="1:19">
      <c r="A173" s="19" t="s">
        <v>18</v>
      </c>
      <c r="B173" s="20" t="s">
        <v>4</v>
      </c>
      <c r="C173" s="20" t="s">
        <v>8</v>
      </c>
      <c r="D173" s="20">
        <v>6</v>
      </c>
      <c r="E173" s="20">
        <v>3840</v>
      </c>
      <c r="F173" s="20">
        <v>2160</v>
      </c>
      <c r="G173" s="20">
        <v>467</v>
      </c>
      <c r="H173" s="20">
        <v>0.5</v>
      </c>
      <c r="I173" s="20">
        <f>Table14[[#This Row],[width_scalebar_mm]]/Table14[[#This Row],[width_scalebar_px]]</f>
        <v>1.0706638115631692E-3</v>
      </c>
      <c r="J173" s="20">
        <v>2</v>
      </c>
      <c r="K173" s="20">
        <v>1920516</v>
      </c>
      <c r="L173" s="20">
        <v>5002</v>
      </c>
      <c r="M173" s="20">
        <v>490553</v>
      </c>
      <c r="N173" s="20">
        <v>2506</v>
      </c>
      <c r="O173" s="20">
        <v>96387</v>
      </c>
      <c r="P173" s="20">
        <v>1713</v>
      </c>
      <c r="Q173" s="20"/>
      <c r="R173" s="20"/>
      <c r="S173" s="20">
        <v>15</v>
      </c>
    </row>
    <row r="174" spans="1:19">
      <c r="A174" s="19" t="s">
        <v>18</v>
      </c>
      <c r="B174" s="20" t="s">
        <v>4</v>
      </c>
      <c r="C174" s="20" t="s">
        <v>8</v>
      </c>
      <c r="D174" s="20">
        <v>7</v>
      </c>
      <c r="E174" s="20">
        <v>3840</v>
      </c>
      <c r="F174" s="20">
        <v>2160</v>
      </c>
      <c r="G174" s="20">
        <v>467</v>
      </c>
      <c r="H174" s="20">
        <v>0.5</v>
      </c>
      <c r="I174" s="20">
        <f>Table14[[#This Row],[width_scalebar_mm]]/Table14[[#This Row],[width_scalebar_px]]</f>
        <v>1.0706638115631692E-3</v>
      </c>
      <c r="J174" s="20">
        <v>2</v>
      </c>
      <c r="K174" s="20">
        <v>2205537</v>
      </c>
      <c r="L174" s="20">
        <v>5299</v>
      </c>
      <c r="M174" s="20">
        <v>565350</v>
      </c>
      <c r="N174" s="20">
        <v>2683</v>
      </c>
      <c r="O174" s="20">
        <v>114238</v>
      </c>
      <c r="P174" s="20">
        <v>1842</v>
      </c>
      <c r="Q174" s="20"/>
      <c r="R174" s="20"/>
      <c r="S174" s="20">
        <v>17</v>
      </c>
    </row>
    <row r="175" spans="1:19">
      <c r="A175" s="19" t="s">
        <v>18</v>
      </c>
      <c r="B175" s="20" t="s">
        <v>4</v>
      </c>
      <c r="C175" s="20" t="s">
        <v>8</v>
      </c>
      <c r="D175" s="20">
        <v>8</v>
      </c>
      <c r="E175" s="20">
        <v>3840</v>
      </c>
      <c r="F175" s="20">
        <v>2160</v>
      </c>
      <c r="G175" s="20">
        <v>467</v>
      </c>
      <c r="H175" s="20">
        <v>0.5</v>
      </c>
      <c r="I175" s="20">
        <f>Table14[[#This Row],[width_scalebar_mm]]/Table14[[#This Row],[width_scalebar_px]]</f>
        <v>1.0706638115631692E-3</v>
      </c>
      <c r="J175" s="20">
        <v>1</v>
      </c>
      <c r="K175" s="20">
        <v>2535765</v>
      </c>
      <c r="L175" s="20">
        <v>5665</v>
      </c>
      <c r="M175" s="20">
        <v>643889</v>
      </c>
      <c r="N175" s="20">
        <v>2868</v>
      </c>
      <c r="O175" s="20">
        <v>156622</v>
      </c>
      <c r="P175" s="20">
        <v>2664</v>
      </c>
      <c r="Q175" s="20"/>
      <c r="R175" s="20"/>
      <c r="S175" s="20">
        <v>17</v>
      </c>
    </row>
    <row r="176" spans="1:19">
      <c r="A176" s="19" t="s">
        <v>18</v>
      </c>
      <c r="B176" s="20" t="s">
        <v>4</v>
      </c>
      <c r="C176" s="20" t="s">
        <v>8</v>
      </c>
      <c r="D176" s="20">
        <v>9</v>
      </c>
      <c r="E176" s="20">
        <v>3840</v>
      </c>
      <c r="F176" s="20">
        <v>2160</v>
      </c>
      <c r="G176" s="20">
        <v>208</v>
      </c>
      <c r="H176" s="20">
        <v>0.2</v>
      </c>
      <c r="I176" s="20">
        <f>Table14[[#This Row],[width_scalebar_mm]]/Table14[[#This Row],[width_scalebar_px]]</f>
        <v>9.6153846153846159E-4</v>
      </c>
      <c r="J176" s="20">
        <v>2</v>
      </c>
      <c r="K176" s="20">
        <v>2861646</v>
      </c>
      <c r="L176" s="20">
        <v>6028</v>
      </c>
      <c r="M176" s="20">
        <v>815342</v>
      </c>
      <c r="N176" s="20">
        <v>3217</v>
      </c>
      <c r="O176" s="20">
        <v>213278</v>
      </c>
      <c r="P176" s="20">
        <v>2903</v>
      </c>
      <c r="Q176" s="20"/>
      <c r="R176" s="20"/>
      <c r="S176" s="20">
        <v>17</v>
      </c>
    </row>
    <row r="177" spans="1:19">
      <c r="A177" s="19" t="s">
        <v>18</v>
      </c>
      <c r="B177" s="20" t="s">
        <v>4</v>
      </c>
      <c r="C177" s="20" t="s">
        <v>8</v>
      </c>
      <c r="D177" s="20">
        <v>10</v>
      </c>
      <c r="E177" s="20">
        <v>3840</v>
      </c>
      <c r="F177" s="20">
        <v>2160</v>
      </c>
      <c r="G177" s="20">
        <v>208</v>
      </c>
      <c r="H177" s="20">
        <v>0.2</v>
      </c>
      <c r="I177" s="20">
        <f>Table14[[#This Row],[width_scalebar_mm]]/Table14[[#This Row],[width_scalebar_px]]</f>
        <v>9.6153846153846159E-4</v>
      </c>
      <c r="J177" s="20">
        <v>2</v>
      </c>
      <c r="K177" s="20">
        <v>3251607</v>
      </c>
      <c r="L177" s="20">
        <v>6462</v>
      </c>
      <c r="M177" s="20">
        <v>977303</v>
      </c>
      <c r="N177" s="20">
        <v>3531</v>
      </c>
      <c r="O177" s="20">
        <v>307283</v>
      </c>
      <c r="P177" s="20">
        <v>3531</v>
      </c>
      <c r="Q177" s="20"/>
      <c r="R177" s="20"/>
      <c r="S177" s="20">
        <v>20</v>
      </c>
    </row>
    <row r="178" spans="1:19">
      <c r="A178" s="19" t="s">
        <v>18</v>
      </c>
      <c r="B178" s="20" t="s">
        <v>4</v>
      </c>
      <c r="C178" s="20" t="s">
        <v>8</v>
      </c>
      <c r="D178" s="20">
        <v>11</v>
      </c>
      <c r="E178" s="20">
        <v>3840</v>
      </c>
      <c r="F178" s="20">
        <v>2160</v>
      </c>
      <c r="G178" s="20">
        <v>468</v>
      </c>
      <c r="H178" s="20">
        <v>1</v>
      </c>
      <c r="I178" s="20">
        <f>Table14[[#This Row],[width_scalebar_mm]]/Table14[[#This Row],[width_scalebar_px]]</f>
        <v>2.136752136752137E-3</v>
      </c>
      <c r="J178" s="20">
        <v>0</v>
      </c>
      <c r="K178" s="20">
        <v>1094411</v>
      </c>
      <c r="L178" s="20">
        <v>3726</v>
      </c>
      <c r="M178" s="20">
        <v>384357</v>
      </c>
      <c r="N178" s="20">
        <v>2213</v>
      </c>
      <c r="O178" s="20">
        <v>139965</v>
      </c>
      <c r="P178" s="20">
        <v>2427</v>
      </c>
      <c r="Q178" s="20"/>
      <c r="R178" s="20"/>
      <c r="S178" s="20">
        <v>21</v>
      </c>
    </row>
    <row r="179" spans="1:19">
      <c r="A179" s="29" t="s">
        <v>19</v>
      </c>
      <c r="B179" s="30" t="s">
        <v>4</v>
      </c>
      <c r="C179" s="30" t="s">
        <v>5</v>
      </c>
      <c r="D179" s="30">
        <v>1</v>
      </c>
      <c r="E179" s="28">
        <v>3840</v>
      </c>
      <c r="F179" s="28">
        <v>2160</v>
      </c>
      <c r="G179" s="30">
        <v>199</v>
      </c>
      <c r="H179" s="30">
        <v>0.2</v>
      </c>
      <c r="I179" s="30">
        <f>Table14[[#This Row],[width_scalebar_mm]]/Table14[[#This Row],[width_scalebar_px]]</f>
        <v>1.0050251256281408E-3</v>
      </c>
      <c r="J179" s="30">
        <v>2</v>
      </c>
      <c r="K179" s="30">
        <v>1594980</v>
      </c>
      <c r="L179" s="30">
        <v>4560</v>
      </c>
      <c r="M179" s="30">
        <v>250882</v>
      </c>
      <c r="N179" s="30">
        <v>1791</v>
      </c>
      <c r="O179" s="30">
        <v>25594</v>
      </c>
      <c r="P179" s="30">
        <v>683</v>
      </c>
      <c r="Q179" s="30"/>
      <c r="R179" s="30"/>
      <c r="S179" s="30" t="s">
        <v>287</v>
      </c>
    </row>
    <row r="180" spans="1:19">
      <c r="A180" s="29" t="s">
        <v>19</v>
      </c>
      <c r="B180" s="30" t="s">
        <v>4</v>
      </c>
      <c r="C180" s="30" t="s">
        <v>5</v>
      </c>
      <c r="D180" s="30">
        <v>2</v>
      </c>
      <c r="E180" s="28">
        <v>3840</v>
      </c>
      <c r="F180" s="28">
        <v>2160</v>
      </c>
      <c r="G180" s="28">
        <v>200</v>
      </c>
      <c r="H180" s="28">
        <v>0.2</v>
      </c>
      <c r="I180" s="28">
        <f>Table14[[#This Row],[width_scalebar_mm]]/Table14[[#This Row],[width_scalebar_px]]</f>
        <v>1E-3</v>
      </c>
      <c r="J180" s="28">
        <v>2</v>
      </c>
      <c r="K180" s="28">
        <v>1517757</v>
      </c>
      <c r="L180" s="28">
        <v>4462</v>
      </c>
      <c r="M180" s="28">
        <v>242037</v>
      </c>
      <c r="N180" s="28">
        <v>1759</v>
      </c>
      <c r="O180" s="28">
        <v>25511</v>
      </c>
      <c r="P180" s="28">
        <v>675</v>
      </c>
      <c r="Q180" s="28"/>
      <c r="R180" s="28"/>
      <c r="S180" s="28" t="s">
        <v>287</v>
      </c>
    </row>
    <row r="181" spans="1:19">
      <c r="A181" s="29" t="s">
        <v>19</v>
      </c>
      <c r="B181" s="30" t="s">
        <v>4</v>
      </c>
      <c r="C181" s="30" t="s">
        <v>5</v>
      </c>
      <c r="D181" s="30">
        <v>3</v>
      </c>
      <c r="E181" s="28">
        <v>3840</v>
      </c>
      <c r="F181" s="28">
        <v>2160</v>
      </c>
      <c r="G181" s="28">
        <v>211</v>
      </c>
      <c r="H181" s="28">
        <v>0.2</v>
      </c>
      <c r="I181" s="28">
        <f>Table14[[#This Row],[width_scalebar_mm]]/Table14[[#This Row],[width_scalebar_px]]</f>
        <v>9.4786729857819908E-4</v>
      </c>
      <c r="J181" s="28">
        <v>3</v>
      </c>
      <c r="K181" s="28">
        <v>1883052</v>
      </c>
      <c r="L181" s="28">
        <v>4933</v>
      </c>
      <c r="M181" s="28">
        <v>313109</v>
      </c>
      <c r="N181" s="28">
        <v>1995</v>
      </c>
      <c r="O181" s="28">
        <v>29429</v>
      </c>
      <c r="P181" s="28">
        <v>772</v>
      </c>
      <c r="Q181" s="28"/>
      <c r="R181" s="28"/>
      <c r="S181" s="28">
        <v>10</v>
      </c>
    </row>
    <row r="182" spans="1:19">
      <c r="A182" s="29" t="s">
        <v>19</v>
      </c>
      <c r="B182" s="30" t="s">
        <v>4</v>
      </c>
      <c r="C182" s="30" t="s">
        <v>5</v>
      </c>
      <c r="D182" s="30">
        <v>4</v>
      </c>
      <c r="E182" s="28">
        <v>3840</v>
      </c>
      <c r="F182" s="28">
        <v>2160</v>
      </c>
      <c r="G182" s="28">
        <v>211</v>
      </c>
      <c r="H182" s="28">
        <v>0.2</v>
      </c>
      <c r="I182" s="28">
        <f>Table14[[#This Row],[width_scalebar_mm]]/Table14[[#This Row],[width_scalebar_px]]</f>
        <v>9.4786729857819908E-4</v>
      </c>
      <c r="J182" s="28">
        <v>2</v>
      </c>
      <c r="K182" s="28">
        <v>1767003</v>
      </c>
      <c r="L182" s="28">
        <v>4997</v>
      </c>
      <c r="M182" s="28">
        <v>354493</v>
      </c>
      <c r="N182" s="28">
        <v>2130</v>
      </c>
      <c r="O182" s="28">
        <v>36839</v>
      </c>
      <c r="P182" s="28">
        <v>829</v>
      </c>
      <c r="Q182" s="28"/>
      <c r="R182" s="28"/>
      <c r="S182" s="28">
        <v>10</v>
      </c>
    </row>
    <row r="183" spans="1:19">
      <c r="A183" s="29" t="s">
        <v>19</v>
      </c>
      <c r="B183" s="30" t="s">
        <v>4</v>
      </c>
      <c r="C183" s="30" t="s">
        <v>5</v>
      </c>
      <c r="D183" s="30">
        <v>5</v>
      </c>
      <c r="E183" s="28">
        <v>3840</v>
      </c>
      <c r="F183" s="28">
        <v>2160</v>
      </c>
      <c r="G183" s="28">
        <v>211</v>
      </c>
      <c r="H183" s="28">
        <v>0.2</v>
      </c>
      <c r="I183" s="28">
        <f>Table14[[#This Row],[width_scalebar_mm]]/Table14[[#This Row],[width_scalebar_px]]</f>
        <v>9.4786729857819908E-4</v>
      </c>
      <c r="J183" s="28">
        <v>3</v>
      </c>
      <c r="K183" s="28">
        <v>1795431</v>
      </c>
      <c r="L183" s="28">
        <v>5106</v>
      </c>
      <c r="M183" s="28">
        <v>438365</v>
      </c>
      <c r="N183" s="28">
        <v>2373</v>
      </c>
      <c r="O183" s="28">
        <v>51761</v>
      </c>
      <c r="P183" s="28">
        <v>1235</v>
      </c>
      <c r="Q183" s="28"/>
      <c r="R183" s="28"/>
      <c r="S183" s="28">
        <v>10</v>
      </c>
    </row>
    <row r="184" spans="1:19">
      <c r="A184" s="29" t="s">
        <v>19</v>
      </c>
      <c r="B184" s="30" t="s">
        <v>4</v>
      </c>
      <c r="C184" s="30" t="s">
        <v>5</v>
      </c>
      <c r="D184" s="30">
        <v>6</v>
      </c>
      <c r="E184" s="28">
        <v>3840</v>
      </c>
      <c r="F184" s="28">
        <v>2160</v>
      </c>
      <c r="G184" s="28">
        <v>211</v>
      </c>
      <c r="H184" s="28">
        <v>0.2</v>
      </c>
      <c r="I184" s="28">
        <f>Table14[[#This Row],[width_scalebar_mm]]/Table14[[#This Row],[width_scalebar_px]]</f>
        <v>9.4786729857819908E-4</v>
      </c>
      <c r="J184" s="28">
        <v>3</v>
      </c>
      <c r="K184" s="28">
        <v>2584602</v>
      </c>
      <c r="L184" s="28">
        <v>5740</v>
      </c>
      <c r="M184" s="28">
        <v>481316</v>
      </c>
      <c r="N184" s="28">
        <v>2476</v>
      </c>
      <c r="O184" s="28">
        <v>41636</v>
      </c>
      <c r="P184" s="28">
        <v>941</v>
      </c>
      <c r="Q184" s="28"/>
      <c r="R184" s="28"/>
      <c r="S184" s="28">
        <v>12</v>
      </c>
    </row>
    <row r="185" spans="1:19">
      <c r="A185" s="29" t="s">
        <v>19</v>
      </c>
      <c r="B185" s="30" t="s">
        <v>4</v>
      </c>
      <c r="C185" s="30" t="s">
        <v>5</v>
      </c>
      <c r="D185" s="30">
        <v>7</v>
      </c>
      <c r="E185" s="28">
        <v>3840</v>
      </c>
      <c r="F185" s="28">
        <v>2160</v>
      </c>
      <c r="G185" s="28">
        <v>211</v>
      </c>
      <c r="H185" s="28">
        <v>0.2</v>
      </c>
      <c r="I185" s="28">
        <f>Table14[[#This Row],[width_scalebar_mm]]/Table14[[#This Row],[width_scalebar_px]]</f>
        <v>9.4786729857819908E-4</v>
      </c>
      <c r="J185" s="28">
        <v>4</v>
      </c>
      <c r="K185" s="28">
        <v>2275590</v>
      </c>
      <c r="L185" s="28">
        <v>5386</v>
      </c>
      <c r="M185" s="28">
        <v>447970</v>
      </c>
      <c r="N185" s="28">
        <v>2394</v>
      </c>
      <c r="O185" s="28">
        <v>40786</v>
      </c>
      <c r="P185" s="28">
        <v>1040</v>
      </c>
      <c r="Q185" s="28"/>
      <c r="R185" s="28"/>
      <c r="S185" s="28">
        <v>12</v>
      </c>
    </row>
    <row r="186" spans="1:19">
      <c r="A186" s="29" t="s">
        <v>19</v>
      </c>
      <c r="B186" s="30" t="s">
        <v>4</v>
      </c>
      <c r="C186" s="30" t="s">
        <v>5</v>
      </c>
      <c r="D186" s="30">
        <v>8</v>
      </c>
      <c r="E186" s="28">
        <v>3840</v>
      </c>
      <c r="F186" s="28">
        <v>2160</v>
      </c>
      <c r="G186" s="28">
        <v>211</v>
      </c>
      <c r="H186" s="28">
        <v>0.2</v>
      </c>
      <c r="I186" s="28">
        <f>Table14[[#This Row],[width_scalebar_mm]]/Table14[[#This Row],[width_scalebar_px]]</f>
        <v>9.4786729857819908E-4</v>
      </c>
      <c r="J186" s="28">
        <v>4</v>
      </c>
      <c r="K186" s="28">
        <v>2467410</v>
      </c>
      <c r="L186" s="28">
        <v>5626</v>
      </c>
      <c r="M186" s="28">
        <v>464207</v>
      </c>
      <c r="N186" s="28">
        <v>2434</v>
      </c>
      <c r="O186" s="28">
        <v>49879</v>
      </c>
      <c r="P186" s="28">
        <v>1250</v>
      </c>
      <c r="Q186" s="28"/>
      <c r="R186" s="28"/>
      <c r="S186" s="28">
        <v>12</v>
      </c>
    </row>
    <row r="187" spans="1:19">
      <c r="A187" s="29" t="s">
        <v>19</v>
      </c>
      <c r="B187" s="30" t="s">
        <v>4</v>
      </c>
      <c r="C187" s="30" t="s">
        <v>5</v>
      </c>
      <c r="D187" s="30">
        <v>9</v>
      </c>
      <c r="E187" s="28">
        <v>3840</v>
      </c>
      <c r="F187" s="28">
        <v>2160</v>
      </c>
      <c r="G187" s="28">
        <v>211</v>
      </c>
      <c r="H187" s="28">
        <v>0.2</v>
      </c>
      <c r="I187" s="28">
        <f>Table14[[#This Row],[width_scalebar_mm]]/Table14[[#This Row],[width_scalebar_px]]</f>
        <v>9.4786729857819908E-4</v>
      </c>
      <c r="J187" s="28">
        <v>4</v>
      </c>
      <c r="K187" s="28">
        <v>2032011</v>
      </c>
      <c r="L187" s="28">
        <v>5084</v>
      </c>
      <c r="M187" s="28">
        <v>427529</v>
      </c>
      <c r="N187" s="28">
        <v>2339</v>
      </c>
      <c r="O187" s="28">
        <v>48558</v>
      </c>
      <c r="P187" s="28">
        <v>1182</v>
      </c>
      <c r="Q187" s="28"/>
      <c r="R187" s="28"/>
      <c r="S187" s="28">
        <v>12</v>
      </c>
    </row>
    <row r="188" spans="1:19">
      <c r="A188" s="29" t="s">
        <v>19</v>
      </c>
      <c r="B188" s="30" t="s">
        <v>4</v>
      </c>
      <c r="C188" s="30" t="s">
        <v>5</v>
      </c>
      <c r="D188" s="30">
        <v>10</v>
      </c>
      <c r="E188" s="28">
        <v>3840</v>
      </c>
      <c r="F188" s="28">
        <v>2160</v>
      </c>
      <c r="G188" s="28">
        <v>211</v>
      </c>
      <c r="H188" s="28">
        <v>0.2</v>
      </c>
      <c r="I188" s="28">
        <f>Table14[[#This Row],[width_scalebar_mm]]/Table14[[#This Row],[width_scalebar_px]]</f>
        <v>9.4786729857819908E-4</v>
      </c>
      <c r="J188" s="28">
        <v>4</v>
      </c>
      <c r="K188" s="28">
        <v>2079201</v>
      </c>
      <c r="L188" s="28">
        <v>5139</v>
      </c>
      <c r="M188" s="28">
        <v>448791</v>
      </c>
      <c r="N188" s="28">
        <v>2391</v>
      </c>
      <c r="O188" s="28">
        <v>55693</v>
      </c>
      <c r="P188" s="28">
        <v>1444</v>
      </c>
      <c r="Q188" s="28"/>
      <c r="R188" s="28"/>
      <c r="S188" s="28">
        <v>12</v>
      </c>
    </row>
    <row r="189" spans="1:19">
      <c r="A189" s="29" t="s">
        <v>19</v>
      </c>
      <c r="B189" s="30" t="s">
        <v>4</v>
      </c>
      <c r="C189" s="30" t="s">
        <v>5</v>
      </c>
      <c r="D189" s="30">
        <v>11</v>
      </c>
      <c r="E189" s="28">
        <v>3840</v>
      </c>
      <c r="F189" s="28">
        <v>2160</v>
      </c>
      <c r="G189" s="28">
        <v>211</v>
      </c>
      <c r="H189" s="28">
        <v>0.2</v>
      </c>
      <c r="I189" s="28">
        <f>Table14[[#This Row],[width_scalebar_mm]]/Table14[[#This Row],[width_scalebar_px]]</f>
        <v>9.4786729857819908E-4</v>
      </c>
      <c r="J189" s="28">
        <v>4</v>
      </c>
      <c r="K189" s="28">
        <v>2055150</v>
      </c>
      <c r="L189" s="28">
        <v>5107</v>
      </c>
      <c r="M189" s="28">
        <v>475405</v>
      </c>
      <c r="N189" s="28">
        <v>2461</v>
      </c>
      <c r="O189" s="28">
        <v>63276</v>
      </c>
      <c r="P189" s="28">
        <v>1353</v>
      </c>
      <c r="Q189" s="28"/>
      <c r="R189" s="28"/>
      <c r="S189" s="28">
        <v>12</v>
      </c>
    </row>
    <row r="190" spans="1:19">
      <c r="A190" s="29" t="s">
        <v>19</v>
      </c>
      <c r="B190" s="30" t="s">
        <v>4</v>
      </c>
      <c r="C190" s="30" t="s">
        <v>5</v>
      </c>
      <c r="D190" s="30">
        <v>12</v>
      </c>
      <c r="E190" s="28">
        <v>3840</v>
      </c>
      <c r="F190" s="28">
        <v>2160</v>
      </c>
      <c r="G190" s="28">
        <v>211</v>
      </c>
      <c r="H190" s="28">
        <v>0.2</v>
      </c>
      <c r="I190" s="28">
        <f>Table14[[#This Row],[width_scalebar_mm]]/Table14[[#This Row],[width_scalebar_px]]</f>
        <v>9.4786729857819908E-4</v>
      </c>
      <c r="J190" s="28">
        <v>4</v>
      </c>
      <c r="K190" s="28">
        <v>2103216</v>
      </c>
      <c r="L190" s="28">
        <v>5172</v>
      </c>
      <c r="M190" s="28">
        <v>465736</v>
      </c>
      <c r="N190" s="28">
        <v>2441</v>
      </c>
      <c r="O190" s="28">
        <v>56222</v>
      </c>
      <c r="P190" s="28">
        <v>1285</v>
      </c>
      <c r="Q190" s="28"/>
      <c r="R190" s="28"/>
      <c r="S190" s="28">
        <v>12</v>
      </c>
    </row>
    <row r="191" spans="1:19">
      <c r="A191" s="29" t="s">
        <v>19</v>
      </c>
      <c r="B191" s="30" t="s">
        <v>4</v>
      </c>
      <c r="C191" s="30" t="s">
        <v>5</v>
      </c>
      <c r="D191" s="30">
        <v>13</v>
      </c>
      <c r="E191" s="28">
        <v>3840</v>
      </c>
      <c r="F191" s="28">
        <v>2160</v>
      </c>
      <c r="G191" s="28">
        <v>211</v>
      </c>
      <c r="H191" s="28">
        <v>0.2</v>
      </c>
      <c r="I191" s="28">
        <f>Table14[[#This Row],[width_scalebar_mm]]/Table14[[#This Row],[width_scalebar_px]]</f>
        <v>9.4786729857819908E-4</v>
      </c>
      <c r="J191" s="28">
        <v>4</v>
      </c>
      <c r="K191" s="28">
        <v>2035620</v>
      </c>
      <c r="L191" s="28">
        <v>5144</v>
      </c>
      <c r="M191" s="28">
        <v>480632</v>
      </c>
      <c r="N191" s="28">
        <v>2475</v>
      </c>
      <c r="O191" s="28">
        <v>66742</v>
      </c>
      <c r="P191" s="28">
        <v>1377</v>
      </c>
      <c r="Q191" s="28"/>
      <c r="R191" s="28"/>
      <c r="S191" s="28">
        <v>12</v>
      </c>
    </row>
    <row r="192" spans="1:19">
      <c r="A192" s="29" t="s">
        <v>19</v>
      </c>
      <c r="B192" s="30" t="s">
        <v>4</v>
      </c>
      <c r="C192" s="30" t="s">
        <v>5</v>
      </c>
      <c r="D192" s="30">
        <v>14</v>
      </c>
      <c r="E192" s="28">
        <v>3840</v>
      </c>
      <c r="F192" s="28">
        <v>2160</v>
      </c>
      <c r="G192" s="28">
        <v>211</v>
      </c>
      <c r="H192" s="28">
        <v>0.2</v>
      </c>
      <c r="I192" s="28">
        <f>Table14[[#This Row],[width_scalebar_mm]]/Table14[[#This Row],[width_scalebar_px]]</f>
        <v>9.4786729857819908E-4</v>
      </c>
      <c r="J192" s="28">
        <v>4</v>
      </c>
      <c r="K192" s="28">
        <v>2229843</v>
      </c>
      <c r="L192" s="28">
        <v>5366</v>
      </c>
      <c r="M192" s="28">
        <v>541105</v>
      </c>
      <c r="N192" s="28">
        <v>2626</v>
      </c>
      <c r="O192" s="28">
        <v>87221</v>
      </c>
      <c r="P192" s="28">
        <v>1596</v>
      </c>
      <c r="Q192" s="28"/>
      <c r="R192" s="28"/>
      <c r="S192" s="28">
        <v>14</v>
      </c>
    </row>
    <row r="193" spans="1:19">
      <c r="A193" s="29" t="s">
        <v>19</v>
      </c>
      <c r="B193" s="30" t="s">
        <v>4</v>
      </c>
      <c r="C193" s="30" t="s">
        <v>5</v>
      </c>
      <c r="D193" s="30">
        <v>15</v>
      </c>
      <c r="E193" s="28">
        <v>3840</v>
      </c>
      <c r="F193" s="28">
        <v>2160</v>
      </c>
      <c r="G193" s="28">
        <v>211</v>
      </c>
      <c r="H193" s="28">
        <v>0.2</v>
      </c>
      <c r="I193" s="28">
        <f>Table14[[#This Row],[width_scalebar_mm]]/Table14[[#This Row],[width_scalebar_px]]</f>
        <v>9.4786729857819908E-4</v>
      </c>
      <c r="J193" s="28">
        <v>4</v>
      </c>
      <c r="K193" s="28">
        <v>2170179</v>
      </c>
      <c r="L193" s="28">
        <v>5266</v>
      </c>
      <c r="M193" s="28">
        <v>586554</v>
      </c>
      <c r="N193" s="28">
        <v>2736</v>
      </c>
      <c r="O193" s="28">
        <v>108526</v>
      </c>
      <c r="P193" s="28">
        <v>1487</v>
      </c>
      <c r="Q193" s="28"/>
      <c r="R193" s="28"/>
      <c r="S193" s="28">
        <v>14</v>
      </c>
    </row>
    <row r="194" spans="1:19">
      <c r="A194" s="29" t="s">
        <v>19</v>
      </c>
      <c r="B194" s="30" t="s">
        <v>4</v>
      </c>
      <c r="C194" s="30" t="s">
        <v>5</v>
      </c>
      <c r="D194" s="30">
        <v>16</v>
      </c>
      <c r="E194" s="28">
        <v>3840</v>
      </c>
      <c r="F194" s="28">
        <v>2160</v>
      </c>
      <c r="G194" s="28">
        <v>468</v>
      </c>
      <c r="H194" s="28">
        <v>1</v>
      </c>
      <c r="I194" s="28">
        <f>Table14[[#This Row],[width_scalebar_mm]]/Table14[[#This Row],[width_scalebar_px]]</f>
        <v>2.136752136752137E-3</v>
      </c>
      <c r="J194" s="28">
        <v>4</v>
      </c>
      <c r="K194" s="28">
        <v>1045215</v>
      </c>
      <c r="L194" s="28">
        <v>3655</v>
      </c>
      <c r="M194" s="28">
        <v>296499</v>
      </c>
      <c r="N194" s="28">
        <v>1944</v>
      </c>
      <c r="O194" s="28">
        <v>107500</v>
      </c>
      <c r="P194" s="28">
        <v>1743</v>
      </c>
      <c r="Q194" s="28"/>
      <c r="R194" s="28"/>
      <c r="S194" s="28">
        <v>15</v>
      </c>
    </row>
    <row r="195" spans="1:19">
      <c r="A195" s="19" t="s">
        <v>20</v>
      </c>
      <c r="B195" s="20" t="s">
        <v>21</v>
      </c>
      <c r="C195" s="20" t="s">
        <v>5</v>
      </c>
      <c r="D195" s="20">
        <v>1</v>
      </c>
      <c r="E195" s="20">
        <v>3840</v>
      </c>
      <c r="F195" s="20">
        <v>2160</v>
      </c>
      <c r="G195" s="20">
        <v>449</v>
      </c>
      <c r="H195" s="20">
        <v>0.5</v>
      </c>
      <c r="I195" s="20">
        <f>Table14[[#This Row],[width_scalebar_mm]]/Table14[[#This Row],[width_scalebar_px]]</f>
        <v>1.1135857461024498E-3</v>
      </c>
      <c r="J195" s="20">
        <v>0</v>
      </c>
      <c r="K195" s="20">
        <v>1223076</v>
      </c>
      <c r="L195" s="20">
        <v>4160</v>
      </c>
      <c r="M195" s="20">
        <v>139085</v>
      </c>
      <c r="N195" s="20">
        <v>1369</v>
      </c>
      <c r="O195" s="20" t="s">
        <v>287</v>
      </c>
      <c r="P195" s="20" t="s">
        <v>287</v>
      </c>
      <c r="Q195" s="20"/>
      <c r="R195" s="20"/>
      <c r="S195" s="20" t="s">
        <v>287</v>
      </c>
    </row>
    <row r="196" spans="1:19">
      <c r="A196" s="19" t="s">
        <v>20</v>
      </c>
      <c r="B196" s="20" t="s">
        <v>21</v>
      </c>
      <c r="C196" s="20" t="s">
        <v>5</v>
      </c>
      <c r="D196" s="20">
        <v>2</v>
      </c>
      <c r="E196" s="20">
        <v>3840</v>
      </c>
      <c r="F196" s="20">
        <v>2160</v>
      </c>
      <c r="G196" s="20">
        <v>449</v>
      </c>
      <c r="H196" s="20">
        <v>0.5</v>
      </c>
      <c r="I196" s="20">
        <f>Table14[[#This Row],[width_scalebar_mm]]/Table14[[#This Row],[width_scalebar_px]]</f>
        <v>1.1135857461024498E-3</v>
      </c>
      <c r="J196" s="20">
        <v>1</v>
      </c>
      <c r="K196" s="20">
        <v>1658460</v>
      </c>
      <c r="L196" s="20">
        <v>4978</v>
      </c>
      <c r="M196" s="20">
        <v>292881</v>
      </c>
      <c r="N196" s="20">
        <v>1954</v>
      </c>
      <c r="O196" s="20" t="s">
        <v>287</v>
      </c>
      <c r="P196" s="20" t="s">
        <v>287</v>
      </c>
      <c r="Q196" s="20"/>
      <c r="R196" s="20"/>
      <c r="S196" s="20" t="s">
        <v>287</v>
      </c>
    </row>
    <row r="197" spans="1:19">
      <c r="A197" s="19" t="s">
        <v>20</v>
      </c>
      <c r="B197" s="20" t="s">
        <v>21</v>
      </c>
      <c r="C197" s="20" t="s">
        <v>5</v>
      </c>
      <c r="D197" s="20">
        <v>3</v>
      </c>
      <c r="E197" s="20">
        <v>3840</v>
      </c>
      <c r="F197" s="20">
        <v>2160</v>
      </c>
      <c r="G197" s="20">
        <v>202</v>
      </c>
      <c r="H197" s="20">
        <v>0.2</v>
      </c>
      <c r="I197" s="20">
        <f>Table14[[#This Row],[width_scalebar_mm]]/Table14[[#This Row],[width_scalebar_px]]</f>
        <v>9.9009900990099011E-4</v>
      </c>
      <c r="J197" s="20">
        <v>2</v>
      </c>
      <c r="K197" s="20">
        <v>2248878</v>
      </c>
      <c r="L197" s="20">
        <v>5553</v>
      </c>
      <c r="M197" s="20">
        <v>420919</v>
      </c>
      <c r="N197" s="20">
        <v>2323</v>
      </c>
      <c r="O197" s="20">
        <v>112360</v>
      </c>
      <c r="P197" s="20">
        <v>1738</v>
      </c>
      <c r="Q197" s="20"/>
      <c r="R197" s="20"/>
      <c r="S197" s="20">
        <v>16</v>
      </c>
    </row>
    <row r="198" spans="1:19">
      <c r="A198" s="19" t="s">
        <v>20</v>
      </c>
      <c r="B198" s="20" t="s">
        <v>21</v>
      </c>
      <c r="C198" s="20" t="s">
        <v>5</v>
      </c>
      <c r="D198" s="20">
        <v>4</v>
      </c>
      <c r="E198" s="20">
        <v>3840</v>
      </c>
      <c r="F198" s="20">
        <v>2160</v>
      </c>
      <c r="G198" s="20">
        <v>202</v>
      </c>
      <c r="H198" s="20">
        <v>0.2</v>
      </c>
      <c r="I198" s="20">
        <f>Table14[[#This Row],[width_scalebar_mm]]/Table14[[#This Row],[width_scalebar_px]]</f>
        <v>9.9009900990099011E-4</v>
      </c>
      <c r="J198" s="20">
        <v>4</v>
      </c>
      <c r="K198" s="20">
        <v>2382630</v>
      </c>
      <c r="L198" s="20">
        <v>5921</v>
      </c>
      <c r="M198" s="20">
        <v>601051</v>
      </c>
      <c r="N198" s="20">
        <v>2778</v>
      </c>
      <c r="O198" s="20">
        <v>172313</v>
      </c>
      <c r="P198" s="20">
        <v>1942</v>
      </c>
      <c r="Q198" s="20"/>
      <c r="R198" s="20"/>
      <c r="S198" s="20">
        <v>16</v>
      </c>
    </row>
    <row r="199" spans="1:19">
      <c r="A199" s="19" t="s">
        <v>20</v>
      </c>
      <c r="B199" s="20" t="s">
        <v>21</v>
      </c>
      <c r="C199" s="20" t="s">
        <v>5</v>
      </c>
      <c r="D199" s="20">
        <v>5</v>
      </c>
      <c r="E199" s="20">
        <v>3840</v>
      </c>
      <c r="F199" s="20">
        <v>2160</v>
      </c>
      <c r="G199" s="20">
        <v>202</v>
      </c>
      <c r="H199" s="20">
        <v>0.2</v>
      </c>
      <c r="I199" s="20">
        <f>Table14[[#This Row],[width_scalebar_mm]]/Table14[[#This Row],[width_scalebar_px]]</f>
        <v>9.9009900990099011E-4</v>
      </c>
      <c r="J199" s="20">
        <v>4</v>
      </c>
      <c r="K199" s="20">
        <v>2632854</v>
      </c>
      <c r="L199" s="20">
        <v>5845</v>
      </c>
      <c r="M199" s="20">
        <v>747707</v>
      </c>
      <c r="N199" s="20">
        <v>3102</v>
      </c>
      <c r="O199" s="20">
        <v>195934</v>
      </c>
      <c r="P199" s="20">
        <v>2057</v>
      </c>
      <c r="Q199" s="20"/>
      <c r="R199" s="20"/>
      <c r="S199" s="20">
        <v>17</v>
      </c>
    </row>
    <row r="200" spans="1:19">
      <c r="A200" s="19" t="s">
        <v>20</v>
      </c>
      <c r="B200" s="20" t="s">
        <v>21</v>
      </c>
      <c r="C200" s="20" t="s">
        <v>5</v>
      </c>
      <c r="D200" s="20">
        <v>6</v>
      </c>
      <c r="E200" s="20">
        <v>3840</v>
      </c>
      <c r="F200" s="20">
        <v>2160</v>
      </c>
      <c r="G200" s="20">
        <v>202</v>
      </c>
      <c r="H200" s="20">
        <v>0.2</v>
      </c>
      <c r="I200" s="20">
        <f>Table14[[#This Row],[width_scalebar_mm]]/Table14[[#This Row],[width_scalebar_px]]</f>
        <v>9.9009900990099011E-4</v>
      </c>
      <c r="J200" s="20">
        <v>4</v>
      </c>
      <c r="K200" s="20">
        <v>3438264</v>
      </c>
      <c r="L200" s="20">
        <v>6627</v>
      </c>
      <c r="M200" s="20">
        <v>998618</v>
      </c>
      <c r="N200" s="20">
        <v>3572</v>
      </c>
      <c r="O200" s="20">
        <v>348298</v>
      </c>
      <c r="P200" s="20">
        <v>2978</v>
      </c>
      <c r="Q200" s="20"/>
      <c r="R200" s="20"/>
      <c r="S200" s="20">
        <v>20</v>
      </c>
    </row>
    <row r="201" spans="1:19">
      <c r="A201" s="19" t="s">
        <v>20</v>
      </c>
      <c r="B201" s="20" t="s">
        <v>21</v>
      </c>
      <c r="C201" s="20" t="s">
        <v>5</v>
      </c>
      <c r="D201" s="20">
        <v>7</v>
      </c>
      <c r="E201" s="20">
        <v>3840</v>
      </c>
      <c r="F201" s="20">
        <v>2160</v>
      </c>
      <c r="G201" s="20">
        <v>426</v>
      </c>
      <c r="H201" s="20">
        <v>1</v>
      </c>
      <c r="I201" s="20">
        <f>Table14[[#This Row],[width_scalebar_mm]]/Table14[[#This Row],[width_scalebar_px]]</f>
        <v>2.3474178403755869E-3</v>
      </c>
      <c r="J201" s="20">
        <v>4</v>
      </c>
      <c r="K201" s="20">
        <v>1306392</v>
      </c>
      <c r="L201" s="20">
        <v>4085</v>
      </c>
      <c r="M201" s="20">
        <v>419466</v>
      </c>
      <c r="N201" s="20">
        <v>2313</v>
      </c>
      <c r="O201" s="20">
        <v>194460</v>
      </c>
      <c r="P201" s="20">
        <v>1999</v>
      </c>
      <c r="Q201" s="20"/>
      <c r="R201" s="20"/>
      <c r="S201" s="20">
        <v>21</v>
      </c>
    </row>
    <row r="202" spans="1:19">
      <c r="A202" s="27" t="s">
        <v>22</v>
      </c>
      <c r="B202" s="28" t="s">
        <v>21</v>
      </c>
      <c r="C202" s="28" t="s">
        <v>5</v>
      </c>
      <c r="D202" s="28">
        <v>1</v>
      </c>
      <c r="E202" s="28">
        <v>3840</v>
      </c>
      <c r="F202" s="28">
        <v>2160</v>
      </c>
      <c r="G202" s="28">
        <v>197</v>
      </c>
      <c r="H202" s="28">
        <v>0.2</v>
      </c>
      <c r="I202" s="28">
        <f>Table14[[#This Row],[width_scalebar_mm]]/Table14[[#This Row],[width_scalebar_px]]</f>
        <v>1.0152284263959391E-3</v>
      </c>
      <c r="J202" s="28">
        <v>0</v>
      </c>
      <c r="K202" s="28">
        <v>1660572</v>
      </c>
      <c r="L202" s="28">
        <v>4662</v>
      </c>
      <c r="M202" s="28">
        <v>422766</v>
      </c>
      <c r="N202" s="28">
        <v>2376</v>
      </c>
      <c r="O202" s="28">
        <v>91717</v>
      </c>
      <c r="P202" s="28">
        <v>1851</v>
      </c>
      <c r="Q202" s="28"/>
      <c r="R202" s="28"/>
      <c r="S202" s="28" t="s">
        <v>287</v>
      </c>
    </row>
    <row r="203" spans="1:19">
      <c r="A203" s="27" t="s">
        <v>22</v>
      </c>
      <c r="B203" s="28" t="s">
        <v>21</v>
      </c>
      <c r="C203" s="28" t="s">
        <v>5</v>
      </c>
      <c r="D203" s="28">
        <v>2</v>
      </c>
      <c r="E203" s="28">
        <v>3840</v>
      </c>
      <c r="F203" s="28">
        <v>2160</v>
      </c>
      <c r="G203" s="28">
        <v>197</v>
      </c>
      <c r="H203" s="28">
        <v>0.2</v>
      </c>
      <c r="I203" s="28">
        <f>Table14[[#This Row],[width_scalebar_mm]]/Table14[[#This Row],[width_scalebar_px]]</f>
        <v>1.0152284263959391E-3</v>
      </c>
      <c r="J203" s="28">
        <v>0</v>
      </c>
      <c r="K203" s="28">
        <v>2281632</v>
      </c>
      <c r="L203" s="28">
        <v>5438</v>
      </c>
      <c r="M203" s="28">
        <v>536342</v>
      </c>
      <c r="N203" s="28">
        <v>2637</v>
      </c>
      <c r="O203" s="28">
        <v>148974</v>
      </c>
      <c r="P203" s="28">
        <v>1935</v>
      </c>
      <c r="Q203" s="28"/>
      <c r="R203" s="28"/>
      <c r="S203" s="28" t="s">
        <v>287</v>
      </c>
    </row>
    <row r="204" spans="1:19">
      <c r="A204" s="27" t="s">
        <v>22</v>
      </c>
      <c r="B204" s="28" t="s">
        <v>21</v>
      </c>
      <c r="C204" s="28" t="s">
        <v>5</v>
      </c>
      <c r="D204" s="28">
        <v>3</v>
      </c>
      <c r="E204" s="28">
        <v>3840</v>
      </c>
      <c r="F204" s="28">
        <v>2160</v>
      </c>
      <c r="G204" s="28">
        <v>197</v>
      </c>
      <c r="H204" s="28">
        <v>0.2</v>
      </c>
      <c r="I204" s="28">
        <f>Table14[[#This Row],[width_scalebar_mm]]/Table14[[#This Row],[width_scalebar_px]]</f>
        <v>1.0152284263959391E-3</v>
      </c>
      <c r="J204" s="28">
        <v>2</v>
      </c>
      <c r="K204" s="28">
        <v>2586366</v>
      </c>
      <c r="L204" s="28">
        <v>5738</v>
      </c>
      <c r="M204" s="28">
        <v>640016</v>
      </c>
      <c r="N204" s="28">
        <v>2865</v>
      </c>
      <c r="O204" s="28">
        <v>174506</v>
      </c>
      <c r="P204" s="28">
        <v>1961</v>
      </c>
      <c r="Q204" s="28"/>
      <c r="R204" s="28"/>
      <c r="S204" s="28">
        <v>17</v>
      </c>
    </row>
    <row r="205" spans="1:19">
      <c r="A205" s="27" t="s">
        <v>22</v>
      </c>
      <c r="B205" s="28" t="s">
        <v>21</v>
      </c>
      <c r="C205" s="28" t="s">
        <v>5</v>
      </c>
      <c r="D205" s="28">
        <v>4</v>
      </c>
      <c r="E205" s="28">
        <v>3840</v>
      </c>
      <c r="F205" s="28">
        <v>2160</v>
      </c>
      <c r="G205" s="28">
        <v>198</v>
      </c>
      <c r="H205" s="28">
        <v>0.2</v>
      </c>
      <c r="I205" s="28">
        <f>Table14[[#This Row],[width_scalebar_mm]]/Table14[[#This Row],[width_scalebar_px]]</f>
        <v>1.0101010101010101E-3</v>
      </c>
      <c r="J205" s="28">
        <v>3</v>
      </c>
      <c r="K205" s="28">
        <v>2671602</v>
      </c>
      <c r="L205" s="28">
        <v>5880</v>
      </c>
      <c r="M205" s="28">
        <v>766160</v>
      </c>
      <c r="N205" s="28">
        <v>3133</v>
      </c>
      <c r="O205" s="28">
        <v>221599</v>
      </c>
      <c r="P205" s="28">
        <v>2640</v>
      </c>
      <c r="Q205" s="28"/>
      <c r="R205" s="28"/>
      <c r="S205" s="28">
        <v>19</v>
      </c>
    </row>
    <row r="206" spans="1:19">
      <c r="A206" s="27" t="s">
        <v>22</v>
      </c>
      <c r="B206" s="28" t="s">
        <v>21</v>
      </c>
      <c r="C206" s="28" t="s">
        <v>5</v>
      </c>
      <c r="D206" s="28">
        <v>5</v>
      </c>
      <c r="E206" s="28">
        <v>3840</v>
      </c>
      <c r="F206" s="28">
        <v>2160</v>
      </c>
      <c r="G206" s="28">
        <v>198</v>
      </c>
      <c r="H206" s="28">
        <v>0.2</v>
      </c>
      <c r="I206" s="28">
        <f>Table14[[#This Row],[width_scalebar_mm]]/Table14[[#This Row],[width_scalebar_px]]</f>
        <v>1.0101010101010101E-3</v>
      </c>
      <c r="J206" s="28">
        <v>3</v>
      </c>
      <c r="K206" s="28">
        <v>3565221</v>
      </c>
      <c r="L206" s="28">
        <v>6728</v>
      </c>
      <c r="M206" s="28">
        <v>869536</v>
      </c>
      <c r="N206" s="28">
        <v>3335</v>
      </c>
      <c r="O206" s="28">
        <v>254154</v>
      </c>
      <c r="P206" s="28">
        <v>2973</v>
      </c>
      <c r="Q206" s="28"/>
      <c r="R206" s="28"/>
      <c r="S206" s="28">
        <v>20</v>
      </c>
    </row>
    <row r="207" spans="1:19">
      <c r="A207" s="27" t="s">
        <v>22</v>
      </c>
      <c r="B207" s="28" t="s">
        <v>21</v>
      </c>
      <c r="C207" s="28" t="s">
        <v>5</v>
      </c>
      <c r="D207" s="28">
        <v>6</v>
      </c>
      <c r="E207" s="28">
        <v>3840</v>
      </c>
      <c r="F207" s="28">
        <v>2160</v>
      </c>
      <c r="G207" s="28">
        <v>198</v>
      </c>
      <c r="H207" s="28">
        <v>0.2</v>
      </c>
      <c r="I207" s="28">
        <f>Table14[[#This Row],[width_scalebar_mm]]/Table14[[#This Row],[width_scalebar_px]]</f>
        <v>1.0101010101010101E-3</v>
      </c>
      <c r="J207" s="28">
        <v>4</v>
      </c>
      <c r="K207" s="28">
        <v>3481605</v>
      </c>
      <c r="L207" s="28">
        <v>6677</v>
      </c>
      <c r="M207" s="28">
        <v>986552</v>
      </c>
      <c r="N207" s="28">
        <v>3557</v>
      </c>
      <c r="O207" s="28">
        <v>337381</v>
      </c>
      <c r="P207" s="28">
        <v>3263</v>
      </c>
      <c r="Q207" s="28"/>
      <c r="R207" s="28"/>
      <c r="S207" s="28">
        <v>21</v>
      </c>
    </row>
    <row r="208" spans="1:19">
      <c r="A208" s="27" t="s">
        <v>22</v>
      </c>
      <c r="B208" s="28" t="s">
        <v>21</v>
      </c>
      <c r="C208" s="28" t="s">
        <v>5</v>
      </c>
      <c r="D208" s="28">
        <v>7</v>
      </c>
      <c r="E208" s="28">
        <v>3840</v>
      </c>
      <c r="F208" s="28">
        <v>2160</v>
      </c>
      <c r="G208" s="28">
        <v>261</v>
      </c>
      <c r="H208" s="28">
        <v>0.5</v>
      </c>
      <c r="I208" s="28">
        <f>Table14[[#This Row],[width_scalebar_mm]]/Table14[[#This Row],[width_scalebar_px]]</f>
        <v>1.9157088122605363E-3</v>
      </c>
      <c r="J208" s="28">
        <v>4</v>
      </c>
      <c r="K208" s="28">
        <v>1195407</v>
      </c>
      <c r="L208" s="28">
        <v>3926</v>
      </c>
      <c r="M208" s="28">
        <v>354919</v>
      </c>
      <c r="N208" s="28">
        <v>2136</v>
      </c>
      <c r="O208" s="28">
        <v>138378</v>
      </c>
      <c r="P208" s="28">
        <v>1852</v>
      </c>
      <c r="Q208" s="28"/>
      <c r="R208" s="28"/>
      <c r="S208" s="28">
        <v>20</v>
      </c>
    </row>
    <row r="209" spans="1:19">
      <c r="A209" s="27" t="s">
        <v>22</v>
      </c>
      <c r="B209" s="28" t="s">
        <v>21</v>
      </c>
      <c r="C209" s="28" t="s">
        <v>5</v>
      </c>
      <c r="D209" s="28">
        <v>8</v>
      </c>
      <c r="E209" s="28">
        <v>3840</v>
      </c>
      <c r="F209" s="28">
        <v>2160</v>
      </c>
      <c r="G209" s="28">
        <v>261</v>
      </c>
      <c r="H209" s="28">
        <v>0.5</v>
      </c>
      <c r="I209" s="28">
        <f>Table14[[#This Row],[width_scalebar_mm]]/Table14[[#This Row],[width_scalebar_px]]</f>
        <v>1.9157088122605363E-3</v>
      </c>
      <c r="J209" s="28">
        <v>4</v>
      </c>
      <c r="K209" s="28">
        <v>1493166</v>
      </c>
      <c r="L209" s="28">
        <v>4385</v>
      </c>
      <c r="M209" s="28">
        <v>475928</v>
      </c>
      <c r="N209" s="28">
        <v>2476</v>
      </c>
      <c r="O209" s="28">
        <v>191488</v>
      </c>
      <c r="P209" s="28">
        <v>2440</v>
      </c>
      <c r="Q209" s="28"/>
      <c r="R209" s="28"/>
      <c r="S209" s="28">
        <v>21</v>
      </c>
    </row>
    <row r="210" spans="1:19">
      <c r="A210" s="19" t="s">
        <v>23</v>
      </c>
      <c r="B210" s="20" t="s">
        <v>21</v>
      </c>
      <c r="C210" s="20" t="s">
        <v>5</v>
      </c>
      <c r="D210" s="20">
        <v>1</v>
      </c>
      <c r="E210" s="20">
        <v>3840</v>
      </c>
      <c r="F210" s="20">
        <v>2160</v>
      </c>
      <c r="G210" s="20">
        <v>203</v>
      </c>
      <c r="H210" s="20">
        <v>0.2</v>
      </c>
      <c r="I210" s="20">
        <f>Table14[[#This Row],[width_scalebar_mm]]/Table14[[#This Row],[width_scalebar_px]]</f>
        <v>9.8522167487684743E-4</v>
      </c>
      <c r="J210" s="20">
        <v>1</v>
      </c>
      <c r="K210" s="20">
        <v>1367085</v>
      </c>
      <c r="L210" s="20">
        <v>4207</v>
      </c>
      <c r="M210" s="20">
        <v>273464</v>
      </c>
      <c r="N210" s="20">
        <v>1869</v>
      </c>
      <c r="O210" s="20">
        <v>44018</v>
      </c>
      <c r="P210" s="20">
        <v>1004</v>
      </c>
      <c r="Q210" s="20"/>
      <c r="R210" s="20"/>
      <c r="S210" s="20">
        <v>13</v>
      </c>
    </row>
    <row r="211" spans="1:19">
      <c r="A211" s="19" t="s">
        <v>23</v>
      </c>
      <c r="B211" s="20" t="s">
        <v>21</v>
      </c>
      <c r="C211" s="20" t="s">
        <v>5</v>
      </c>
      <c r="D211" s="20">
        <v>2</v>
      </c>
      <c r="E211" s="20">
        <v>3840</v>
      </c>
      <c r="F211" s="20">
        <v>2160</v>
      </c>
      <c r="G211" s="20">
        <v>203</v>
      </c>
      <c r="H211" s="20">
        <v>0.2</v>
      </c>
      <c r="I211" s="20">
        <f>Table14[[#This Row],[width_scalebar_mm]]/Table14[[#This Row],[width_scalebar_px]]</f>
        <v>9.8522167487684743E-4</v>
      </c>
      <c r="J211" s="20">
        <v>1</v>
      </c>
      <c r="K211" s="20">
        <v>1544088</v>
      </c>
      <c r="L211" s="20">
        <v>4463</v>
      </c>
      <c r="M211" s="20">
        <v>337488</v>
      </c>
      <c r="N211" s="20">
        <v>2076</v>
      </c>
      <c r="O211" s="20">
        <v>61054</v>
      </c>
      <c r="P211" s="20">
        <v>1195</v>
      </c>
      <c r="Q211" s="20"/>
      <c r="R211" s="20"/>
      <c r="S211" s="20">
        <v>13</v>
      </c>
    </row>
    <row r="212" spans="1:19">
      <c r="A212" s="19" t="s">
        <v>23</v>
      </c>
      <c r="B212" s="20" t="s">
        <v>21</v>
      </c>
      <c r="C212" s="20" t="s">
        <v>5</v>
      </c>
      <c r="D212" s="20">
        <v>3</v>
      </c>
      <c r="E212" s="20">
        <v>3840</v>
      </c>
      <c r="F212" s="20">
        <v>2160</v>
      </c>
      <c r="G212" s="20">
        <v>203</v>
      </c>
      <c r="H212" s="20">
        <v>0.2</v>
      </c>
      <c r="I212" s="20">
        <f>Table14[[#This Row],[width_scalebar_mm]]/Table14[[#This Row],[width_scalebar_px]]</f>
        <v>9.8522167487684743E-4</v>
      </c>
      <c r="J212" s="20">
        <v>4</v>
      </c>
      <c r="K212" s="20">
        <v>1553847</v>
      </c>
      <c r="L212" s="20">
        <v>4473</v>
      </c>
      <c r="M212" s="20">
        <v>363396</v>
      </c>
      <c r="N212" s="20">
        <v>2155</v>
      </c>
      <c r="O212" s="20">
        <v>59874</v>
      </c>
      <c r="P212" s="20">
        <v>1187</v>
      </c>
      <c r="Q212" s="20"/>
      <c r="R212" s="20"/>
      <c r="S212" s="20">
        <v>13</v>
      </c>
    </row>
    <row r="213" spans="1:19">
      <c r="A213" s="19" t="s">
        <v>23</v>
      </c>
      <c r="B213" s="20" t="s">
        <v>21</v>
      </c>
      <c r="C213" s="20" t="s">
        <v>5</v>
      </c>
      <c r="D213" s="20">
        <v>4</v>
      </c>
      <c r="E213" s="20">
        <v>3840</v>
      </c>
      <c r="F213" s="20">
        <v>2160</v>
      </c>
      <c r="G213" s="20">
        <v>203</v>
      </c>
      <c r="H213" s="20">
        <v>0.2</v>
      </c>
      <c r="I213" s="20">
        <f>Table14[[#This Row],[width_scalebar_mm]]/Table14[[#This Row],[width_scalebar_px]]</f>
        <v>9.8522167487684743E-4</v>
      </c>
      <c r="J213" s="20">
        <v>3</v>
      </c>
      <c r="K213" s="20">
        <v>1670190</v>
      </c>
      <c r="L213" s="20">
        <v>4614</v>
      </c>
      <c r="M213" s="20">
        <v>389831</v>
      </c>
      <c r="N213" s="20">
        <v>2233</v>
      </c>
      <c r="O213" s="20">
        <v>73657</v>
      </c>
      <c r="P213" s="20">
        <v>1261</v>
      </c>
      <c r="Q213" s="20"/>
      <c r="R213" s="20"/>
      <c r="S213" s="20">
        <v>14</v>
      </c>
    </row>
    <row r="214" spans="1:19">
      <c r="A214" s="19" t="s">
        <v>23</v>
      </c>
      <c r="B214" s="20" t="s">
        <v>21</v>
      </c>
      <c r="C214" s="20" t="s">
        <v>5</v>
      </c>
      <c r="D214" s="20">
        <v>5</v>
      </c>
      <c r="E214" s="20">
        <v>3840</v>
      </c>
      <c r="F214" s="20">
        <v>2160</v>
      </c>
      <c r="G214" s="20">
        <v>203</v>
      </c>
      <c r="H214" s="20">
        <v>0.2</v>
      </c>
      <c r="I214" s="20">
        <f>Table14[[#This Row],[width_scalebar_mm]]/Table14[[#This Row],[width_scalebar_px]]</f>
        <v>9.8522167487684743E-4</v>
      </c>
      <c r="J214" s="20">
        <v>4</v>
      </c>
      <c r="K214" s="20">
        <v>1750362</v>
      </c>
      <c r="L214" s="20">
        <v>4726</v>
      </c>
      <c r="M214" s="20">
        <v>438942</v>
      </c>
      <c r="N214" s="20">
        <v>2367</v>
      </c>
      <c r="O214" s="20">
        <v>101201</v>
      </c>
      <c r="P214" s="20">
        <v>1656</v>
      </c>
      <c r="Q214" s="20"/>
      <c r="R214" s="20"/>
      <c r="S214" s="20">
        <v>15</v>
      </c>
    </row>
    <row r="215" spans="1:19">
      <c r="A215" s="19" t="s">
        <v>23</v>
      </c>
      <c r="B215" s="20" t="s">
        <v>21</v>
      </c>
      <c r="C215" s="20" t="s">
        <v>5</v>
      </c>
      <c r="D215" s="20">
        <v>6</v>
      </c>
      <c r="E215" s="20">
        <v>3840</v>
      </c>
      <c r="F215" s="20">
        <v>2160</v>
      </c>
      <c r="G215" s="20">
        <v>203</v>
      </c>
      <c r="H215" s="20">
        <v>0.2</v>
      </c>
      <c r="I215" s="20">
        <f>Table14[[#This Row],[width_scalebar_mm]]/Table14[[#This Row],[width_scalebar_px]]</f>
        <v>9.8522167487684743E-4</v>
      </c>
      <c r="J215" s="20">
        <v>4</v>
      </c>
      <c r="K215" s="20">
        <v>2029155</v>
      </c>
      <c r="L215" s="20">
        <v>5087</v>
      </c>
      <c r="M215" s="20">
        <v>525684</v>
      </c>
      <c r="N215" s="20">
        <v>2591</v>
      </c>
      <c r="O215" s="20">
        <v>119066</v>
      </c>
      <c r="P215" s="20">
        <v>1701</v>
      </c>
      <c r="Q215" s="20"/>
      <c r="R215" s="20"/>
      <c r="S215" s="20">
        <v>16</v>
      </c>
    </row>
    <row r="216" spans="1:19">
      <c r="A216" s="19" t="s">
        <v>23</v>
      </c>
      <c r="B216" s="20" t="s">
        <v>21</v>
      </c>
      <c r="C216" s="20" t="s">
        <v>5</v>
      </c>
      <c r="D216" s="20">
        <v>7</v>
      </c>
      <c r="E216" s="20">
        <v>3840</v>
      </c>
      <c r="F216" s="20">
        <v>2160</v>
      </c>
      <c r="G216" s="20">
        <v>203</v>
      </c>
      <c r="H216" s="20">
        <v>0.2</v>
      </c>
      <c r="I216" s="20">
        <f>Table14[[#This Row],[width_scalebar_mm]]/Table14[[#This Row],[width_scalebar_px]]</f>
        <v>9.8522167487684743E-4</v>
      </c>
      <c r="J216" s="20">
        <v>2</v>
      </c>
      <c r="K216" s="20">
        <v>2167851</v>
      </c>
      <c r="L216" s="20">
        <v>5259</v>
      </c>
      <c r="M216" s="20">
        <v>600583</v>
      </c>
      <c r="N216" s="20">
        <v>2762</v>
      </c>
      <c r="O216" s="20">
        <v>137820</v>
      </c>
      <c r="P216" s="20">
        <v>1801</v>
      </c>
      <c r="Q216" s="20"/>
      <c r="R216" s="20"/>
      <c r="S216" s="20">
        <v>16</v>
      </c>
    </row>
    <row r="217" spans="1:19">
      <c r="A217" s="19" t="s">
        <v>23</v>
      </c>
      <c r="B217" s="20" t="s">
        <v>21</v>
      </c>
      <c r="C217" s="20" t="s">
        <v>5</v>
      </c>
      <c r="D217" s="20">
        <v>8</v>
      </c>
      <c r="E217" s="20">
        <v>3840</v>
      </c>
      <c r="F217" s="20">
        <v>2160</v>
      </c>
      <c r="G217" s="20">
        <v>203</v>
      </c>
      <c r="H217" s="20">
        <v>0.2</v>
      </c>
      <c r="I217" s="20">
        <f>Table14[[#This Row],[width_scalebar_mm]]/Table14[[#This Row],[width_scalebar_px]]</f>
        <v>9.8522167487684743E-4</v>
      </c>
      <c r="J217" s="20">
        <v>4</v>
      </c>
      <c r="K217" s="20">
        <v>2492481</v>
      </c>
      <c r="L217" s="20">
        <v>5638</v>
      </c>
      <c r="M217" s="20">
        <v>714002</v>
      </c>
      <c r="N217" s="20">
        <v>3048</v>
      </c>
      <c r="O217" s="20">
        <v>176807</v>
      </c>
      <c r="P217" s="20">
        <v>2075</v>
      </c>
      <c r="Q217" s="20"/>
      <c r="R217" s="20"/>
      <c r="S217" s="20">
        <v>16</v>
      </c>
    </row>
    <row r="218" spans="1:19">
      <c r="A218" s="19" t="s">
        <v>23</v>
      </c>
      <c r="B218" s="20" t="s">
        <v>21</v>
      </c>
      <c r="C218" s="20" t="s">
        <v>5</v>
      </c>
      <c r="D218" s="20">
        <v>9</v>
      </c>
      <c r="E218" s="20">
        <v>3840</v>
      </c>
      <c r="F218" s="20">
        <v>2160</v>
      </c>
      <c r="G218" s="20">
        <v>203</v>
      </c>
      <c r="H218" s="20">
        <v>0.2</v>
      </c>
      <c r="I218" s="20">
        <f>Table14[[#This Row],[width_scalebar_mm]]/Table14[[#This Row],[width_scalebar_px]]</f>
        <v>9.8522167487684743E-4</v>
      </c>
      <c r="J218" s="20">
        <v>4</v>
      </c>
      <c r="K218" s="20">
        <v>2822049</v>
      </c>
      <c r="L218" s="20">
        <v>5997</v>
      </c>
      <c r="M218" s="20">
        <v>792195</v>
      </c>
      <c r="N218" s="20">
        <v>3182</v>
      </c>
      <c r="O218" s="20">
        <v>215377</v>
      </c>
      <c r="P218" s="20">
        <v>1965</v>
      </c>
      <c r="Q218" s="20"/>
      <c r="R218" s="20"/>
      <c r="S218" s="20">
        <v>16</v>
      </c>
    </row>
    <row r="219" spans="1:19">
      <c r="A219" s="19" t="s">
        <v>23</v>
      </c>
      <c r="B219" s="20" t="s">
        <v>21</v>
      </c>
      <c r="C219" s="20" t="s">
        <v>5</v>
      </c>
      <c r="D219" s="20">
        <v>10</v>
      </c>
      <c r="E219" s="20">
        <v>3840</v>
      </c>
      <c r="F219" s="20">
        <v>2160</v>
      </c>
      <c r="G219" s="20">
        <v>203</v>
      </c>
      <c r="H219" s="20">
        <v>0.2</v>
      </c>
      <c r="I219" s="20">
        <f>Table14[[#This Row],[width_scalebar_mm]]/Table14[[#This Row],[width_scalebar_px]]</f>
        <v>9.8522167487684743E-4</v>
      </c>
      <c r="J219" s="20">
        <v>4</v>
      </c>
      <c r="K219" s="20">
        <v>3025356</v>
      </c>
      <c r="L219" s="20">
        <v>6222</v>
      </c>
      <c r="M219" s="20">
        <v>911787</v>
      </c>
      <c r="N219" s="20">
        <v>3403</v>
      </c>
      <c r="O219" s="20">
        <v>309364</v>
      </c>
      <c r="P219" s="20">
        <v>2757</v>
      </c>
      <c r="Q219" s="20"/>
      <c r="R219" s="20"/>
      <c r="S219" s="20">
        <v>19</v>
      </c>
    </row>
    <row r="220" spans="1:19">
      <c r="A220" s="27" t="s">
        <v>24</v>
      </c>
      <c r="B220" s="28" t="s">
        <v>21</v>
      </c>
      <c r="C220" s="28" t="s">
        <v>8</v>
      </c>
      <c r="D220" s="28">
        <v>1</v>
      </c>
      <c r="E220" s="28">
        <v>3840</v>
      </c>
      <c r="F220" s="28">
        <v>2160</v>
      </c>
      <c r="G220" s="28">
        <v>203</v>
      </c>
      <c r="H220" s="28">
        <v>0.2</v>
      </c>
      <c r="I220" s="28">
        <f>Table14[[#This Row],[width_scalebar_mm]]/Table14[[#This Row],[width_scalebar_px]]</f>
        <v>9.8522167487684743E-4</v>
      </c>
      <c r="J220" s="28">
        <v>0</v>
      </c>
      <c r="K220" s="28">
        <v>1025739</v>
      </c>
      <c r="L220" s="28">
        <v>3644</v>
      </c>
      <c r="M220" s="28">
        <v>193300</v>
      </c>
      <c r="N220" s="28">
        <v>1573</v>
      </c>
      <c r="O220" s="28">
        <v>21309</v>
      </c>
      <c r="P220" s="28">
        <v>654</v>
      </c>
      <c r="Q220" s="28"/>
      <c r="R220" s="28"/>
      <c r="S220" s="28">
        <v>12</v>
      </c>
    </row>
    <row r="221" spans="1:19">
      <c r="A221" s="27" t="s">
        <v>24</v>
      </c>
      <c r="B221" s="28" t="s">
        <v>21</v>
      </c>
      <c r="C221" s="28" t="s">
        <v>8</v>
      </c>
      <c r="D221" s="28">
        <v>2</v>
      </c>
      <c r="E221" s="28">
        <v>3840</v>
      </c>
      <c r="F221" s="28">
        <v>2160</v>
      </c>
      <c r="G221" s="28">
        <v>203</v>
      </c>
      <c r="H221" s="28">
        <v>0.2</v>
      </c>
      <c r="I221" s="28">
        <f>Table14[[#This Row],[width_scalebar_mm]]/Table14[[#This Row],[width_scalebar_px]]</f>
        <v>9.8522167487684743E-4</v>
      </c>
      <c r="J221" s="28">
        <v>0</v>
      </c>
      <c r="K221" s="28">
        <v>874365</v>
      </c>
      <c r="L221" s="28">
        <v>3419</v>
      </c>
      <c r="M221" s="28">
        <v>209020</v>
      </c>
      <c r="N221" s="28">
        <v>1645</v>
      </c>
      <c r="O221" s="28">
        <v>26001</v>
      </c>
      <c r="P221" s="28">
        <v>810</v>
      </c>
      <c r="Q221" s="28"/>
      <c r="R221" s="28"/>
      <c r="S221" s="28">
        <v>12</v>
      </c>
    </row>
    <row r="222" spans="1:19">
      <c r="A222" s="27" t="s">
        <v>24</v>
      </c>
      <c r="B222" s="28" t="s">
        <v>21</v>
      </c>
      <c r="C222" s="28" t="s">
        <v>8</v>
      </c>
      <c r="D222" s="28">
        <v>3</v>
      </c>
      <c r="E222" s="28">
        <v>3840</v>
      </c>
      <c r="F222" s="28">
        <v>2160</v>
      </c>
      <c r="G222" s="28">
        <v>203</v>
      </c>
      <c r="H222" s="28">
        <v>0.2</v>
      </c>
      <c r="I222" s="28">
        <f>Table14[[#This Row],[width_scalebar_mm]]/Table14[[#This Row],[width_scalebar_px]]</f>
        <v>9.8522167487684743E-4</v>
      </c>
      <c r="J222" s="28">
        <v>0</v>
      </c>
      <c r="K222" s="28">
        <v>847212</v>
      </c>
      <c r="L222" s="28">
        <v>3489</v>
      </c>
      <c r="M222" s="28">
        <v>246789</v>
      </c>
      <c r="N222" s="28">
        <v>1810</v>
      </c>
      <c r="O222" s="28">
        <v>30548</v>
      </c>
      <c r="P222" s="28">
        <v>921</v>
      </c>
      <c r="Q222" s="28"/>
      <c r="R222" s="28"/>
      <c r="S222" s="28">
        <v>12</v>
      </c>
    </row>
    <row r="223" spans="1:19">
      <c r="A223" s="27" t="s">
        <v>24</v>
      </c>
      <c r="B223" s="28" t="s">
        <v>21</v>
      </c>
      <c r="C223" s="28" t="s">
        <v>8</v>
      </c>
      <c r="D223" s="28">
        <v>4</v>
      </c>
      <c r="E223" s="28">
        <v>3840</v>
      </c>
      <c r="F223" s="28">
        <v>2160</v>
      </c>
      <c r="G223" s="28">
        <v>203</v>
      </c>
      <c r="H223" s="28">
        <v>0.2</v>
      </c>
      <c r="I223" s="28">
        <f>Table14[[#This Row],[width_scalebar_mm]]/Table14[[#This Row],[width_scalebar_px]]</f>
        <v>9.8522167487684743E-4</v>
      </c>
      <c r="J223" s="28">
        <v>0</v>
      </c>
      <c r="K223" s="28">
        <v>1108725</v>
      </c>
      <c r="L223" s="28">
        <v>3899</v>
      </c>
      <c r="M223" s="28">
        <v>313640</v>
      </c>
      <c r="N223" s="28">
        <v>1997</v>
      </c>
      <c r="O223" s="28">
        <v>41284</v>
      </c>
      <c r="P223" s="28">
        <v>906</v>
      </c>
      <c r="Q223" s="28"/>
      <c r="R223" s="28"/>
      <c r="S223" s="28">
        <v>13</v>
      </c>
    </row>
    <row r="224" spans="1:19">
      <c r="A224" s="27" t="s">
        <v>24</v>
      </c>
      <c r="B224" s="28" t="s">
        <v>21</v>
      </c>
      <c r="C224" s="28" t="s">
        <v>8</v>
      </c>
      <c r="D224" s="28">
        <v>5</v>
      </c>
      <c r="E224" s="28">
        <v>3840</v>
      </c>
      <c r="F224" s="28">
        <v>2160</v>
      </c>
      <c r="G224" s="28">
        <v>203</v>
      </c>
      <c r="H224" s="28">
        <v>0.2</v>
      </c>
      <c r="I224" s="28">
        <f>Table14[[#This Row],[width_scalebar_mm]]/Table14[[#This Row],[width_scalebar_px]]</f>
        <v>9.8522167487684743E-4</v>
      </c>
      <c r="J224" s="28">
        <v>0</v>
      </c>
      <c r="K224" s="28">
        <v>1504050</v>
      </c>
      <c r="L224" s="28">
        <v>4417</v>
      </c>
      <c r="M224" s="28">
        <v>358193</v>
      </c>
      <c r="N224" s="28">
        <v>2136</v>
      </c>
      <c r="O224" s="28">
        <v>64882</v>
      </c>
      <c r="P224" s="28">
        <v>1520</v>
      </c>
      <c r="Q224" s="28"/>
      <c r="R224" s="28"/>
      <c r="S224" s="28">
        <v>13</v>
      </c>
    </row>
    <row r="225" spans="1:19">
      <c r="A225" s="27" t="s">
        <v>24</v>
      </c>
      <c r="B225" s="28" t="s">
        <v>21</v>
      </c>
      <c r="C225" s="28" t="s">
        <v>8</v>
      </c>
      <c r="D225" s="28">
        <v>6</v>
      </c>
      <c r="E225" s="28">
        <v>3840</v>
      </c>
      <c r="F225" s="28">
        <v>2160</v>
      </c>
      <c r="G225" s="28">
        <v>243</v>
      </c>
      <c r="H225" s="28">
        <v>0.5</v>
      </c>
      <c r="I225" s="28">
        <f>Table14[[#This Row],[width_scalebar_mm]]/Table14[[#This Row],[width_scalebar_px]]</f>
        <v>2.05761316872428E-3</v>
      </c>
      <c r="J225" s="28">
        <v>0</v>
      </c>
      <c r="K225" s="28">
        <v>900819</v>
      </c>
      <c r="L225" s="28">
        <v>3496</v>
      </c>
      <c r="M225" s="28">
        <v>205987</v>
      </c>
      <c r="N225" s="28">
        <v>1641</v>
      </c>
      <c r="O225" s="28">
        <v>51378</v>
      </c>
      <c r="P225" s="28">
        <v>1159</v>
      </c>
      <c r="Q225" s="28"/>
      <c r="R225" s="28"/>
      <c r="S225" s="28">
        <v>13</v>
      </c>
    </row>
    <row r="226" spans="1:19">
      <c r="A226" s="27" t="s">
        <v>24</v>
      </c>
      <c r="B226" s="28" t="s">
        <v>21</v>
      </c>
      <c r="C226" s="28" t="s">
        <v>8</v>
      </c>
      <c r="D226" s="28">
        <v>7</v>
      </c>
      <c r="E226" s="28">
        <v>3840</v>
      </c>
      <c r="F226" s="28">
        <v>2160</v>
      </c>
      <c r="G226" s="28">
        <v>243</v>
      </c>
      <c r="H226" s="28">
        <v>0.5</v>
      </c>
      <c r="I226" s="28">
        <f>Table14[[#This Row],[width_scalebar_mm]]/Table14[[#This Row],[width_scalebar_px]]</f>
        <v>2.05761316872428E-3</v>
      </c>
      <c r="J226" s="28">
        <v>0</v>
      </c>
      <c r="K226" s="28">
        <v>2152110</v>
      </c>
      <c r="L226" s="28">
        <v>5235</v>
      </c>
      <c r="M226" s="28">
        <v>540709</v>
      </c>
      <c r="N226" s="28">
        <v>2626</v>
      </c>
      <c r="O226" s="28">
        <v>201041</v>
      </c>
      <c r="P226" s="28">
        <v>3586</v>
      </c>
      <c r="Q226" s="28"/>
      <c r="R226" s="28"/>
      <c r="S226" s="28">
        <v>14</v>
      </c>
    </row>
    <row r="227" spans="1:19">
      <c r="A227" s="19" t="s">
        <v>25</v>
      </c>
      <c r="B227" s="20" t="s">
        <v>21</v>
      </c>
      <c r="C227" s="20" t="s">
        <v>8</v>
      </c>
      <c r="D227" s="20">
        <v>1</v>
      </c>
      <c r="E227" s="20">
        <v>3840</v>
      </c>
      <c r="F227" s="20">
        <v>2160</v>
      </c>
      <c r="G227" s="20">
        <v>199</v>
      </c>
      <c r="H227" s="20">
        <v>0.2</v>
      </c>
      <c r="I227" s="20">
        <f>Table14[[#This Row],[width_scalebar_mm]]/Table14[[#This Row],[width_scalebar_px]]</f>
        <v>1.0050251256281408E-3</v>
      </c>
      <c r="J227" s="20">
        <v>0</v>
      </c>
      <c r="K227" s="20">
        <v>1696458</v>
      </c>
      <c r="L227" s="20">
        <v>4762</v>
      </c>
      <c r="M227" s="20">
        <v>342564</v>
      </c>
      <c r="N227" s="20">
        <v>2121</v>
      </c>
      <c r="O227" s="20">
        <v>80478</v>
      </c>
      <c r="P227" s="20">
        <v>1480</v>
      </c>
      <c r="Q227" s="20">
        <v>0</v>
      </c>
      <c r="R227" s="20">
        <v>53477</v>
      </c>
      <c r="S227" s="20">
        <v>16</v>
      </c>
    </row>
    <row r="228" spans="1:19">
      <c r="A228" s="19" t="s">
        <v>25</v>
      </c>
      <c r="B228" s="20" t="s">
        <v>21</v>
      </c>
      <c r="C228" s="20" t="s">
        <v>8</v>
      </c>
      <c r="D228" s="20">
        <v>2</v>
      </c>
      <c r="E228" s="20">
        <v>3840</v>
      </c>
      <c r="F228" s="20">
        <v>2160</v>
      </c>
      <c r="G228" s="20">
        <v>257</v>
      </c>
      <c r="H228" s="20">
        <v>0.5</v>
      </c>
      <c r="I228" s="20">
        <f>Table14[[#This Row],[width_scalebar_mm]]/Table14[[#This Row],[width_scalebar_px]]</f>
        <v>1.9455252918287938E-3</v>
      </c>
      <c r="J228" s="20">
        <v>0</v>
      </c>
      <c r="K228" s="20">
        <v>548781</v>
      </c>
      <c r="L228" s="20">
        <v>2947</v>
      </c>
      <c r="M228" s="20">
        <v>141940</v>
      </c>
      <c r="N228" s="20">
        <v>1416</v>
      </c>
      <c r="O228" s="20">
        <v>35692</v>
      </c>
      <c r="P228" s="20">
        <v>869</v>
      </c>
      <c r="Q228" s="20">
        <v>0</v>
      </c>
      <c r="R228" s="20"/>
      <c r="S228" s="20">
        <v>17</v>
      </c>
    </row>
    <row r="229" spans="1:19">
      <c r="A229" s="19" t="s">
        <v>25</v>
      </c>
      <c r="B229" s="20" t="s">
        <v>21</v>
      </c>
      <c r="C229" s="20" t="s">
        <v>8</v>
      </c>
      <c r="D229" s="20">
        <v>3</v>
      </c>
      <c r="E229" s="20">
        <v>3840</v>
      </c>
      <c r="F229" s="20">
        <v>2160</v>
      </c>
      <c r="G229" s="20">
        <v>446</v>
      </c>
      <c r="H229" s="20">
        <v>0.5</v>
      </c>
      <c r="I229" s="20">
        <f>Table14[[#This Row],[width_scalebar_mm]]/Table14[[#This Row],[width_scalebar_px]]</f>
        <v>1.1210762331838565E-3</v>
      </c>
      <c r="J229" s="20">
        <v>0</v>
      </c>
      <c r="K229" s="20">
        <v>2417238</v>
      </c>
      <c r="L229" s="20">
        <v>5572</v>
      </c>
      <c r="M229" s="20">
        <v>773817</v>
      </c>
      <c r="N229" s="20">
        <v>3142</v>
      </c>
      <c r="O229" s="20">
        <v>214885</v>
      </c>
      <c r="P229" s="20">
        <v>2882</v>
      </c>
      <c r="Q229" s="20">
        <v>0</v>
      </c>
      <c r="R229" s="20"/>
      <c r="S229" s="20">
        <v>20</v>
      </c>
    </row>
    <row r="230" spans="1:19">
      <c r="A230" s="19" t="s">
        <v>25</v>
      </c>
      <c r="B230" s="20" t="s">
        <v>21</v>
      </c>
      <c r="C230" s="20" t="s">
        <v>8</v>
      </c>
      <c r="D230" s="20">
        <v>4</v>
      </c>
      <c r="E230" s="20">
        <v>3840</v>
      </c>
      <c r="F230" s="20">
        <v>2160</v>
      </c>
      <c r="G230" s="20">
        <v>278</v>
      </c>
      <c r="H230" s="20">
        <v>0.5</v>
      </c>
      <c r="I230" s="20">
        <f>Table14[[#This Row],[width_scalebar_mm]]/Table14[[#This Row],[width_scalebar_px]]</f>
        <v>1.7985611510791368E-3</v>
      </c>
      <c r="J230" s="20">
        <v>0</v>
      </c>
      <c r="K230" s="20">
        <v>1453632</v>
      </c>
      <c r="L230" s="20">
        <v>4339</v>
      </c>
      <c r="M230" s="20">
        <v>430630</v>
      </c>
      <c r="N230" s="20">
        <v>2351</v>
      </c>
      <c r="O230" s="20">
        <v>155428</v>
      </c>
      <c r="P230" s="20">
        <v>1968</v>
      </c>
      <c r="Q230" s="20">
        <v>0</v>
      </c>
      <c r="R230" s="20"/>
      <c r="S230" s="20">
        <v>22</v>
      </c>
    </row>
    <row r="231" spans="1:19">
      <c r="A231" s="19" t="s">
        <v>25</v>
      </c>
      <c r="B231" s="20" t="s">
        <v>21</v>
      </c>
      <c r="C231" s="20" t="s">
        <v>8</v>
      </c>
      <c r="D231" s="20">
        <v>5</v>
      </c>
      <c r="E231" s="20">
        <v>3840</v>
      </c>
      <c r="F231" s="20">
        <v>2160</v>
      </c>
      <c r="G231" s="20">
        <v>279</v>
      </c>
      <c r="H231" s="20">
        <v>0.5</v>
      </c>
      <c r="I231" s="20">
        <f>Table14[[#This Row],[width_scalebar_mm]]/Table14[[#This Row],[width_scalebar_px]]</f>
        <v>1.7921146953405018E-3</v>
      </c>
      <c r="J231" s="20">
        <v>0</v>
      </c>
      <c r="K231" s="20">
        <v>3200937</v>
      </c>
      <c r="L231" s="20">
        <v>6381</v>
      </c>
      <c r="M231" s="20">
        <v>1155292</v>
      </c>
      <c r="N231" s="20">
        <v>3841</v>
      </c>
      <c r="O231" s="20">
        <v>642035</v>
      </c>
      <c r="P231" s="20">
        <v>4459</v>
      </c>
      <c r="Q231" s="20">
        <v>0</v>
      </c>
      <c r="R231" s="20"/>
      <c r="S231" s="20">
        <v>26</v>
      </c>
    </row>
    <row r="232" spans="1:19">
      <c r="A232" s="27" t="s">
        <v>26</v>
      </c>
      <c r="B232" s="28" t="s">
        <v>21</v>
      </c>
      <c r="C232" s="28" t="s">
        <v>5</v>
      </c>
      <c r="D232" s="28">
        <v>1</v>
      </c>
      <c r="E232" s="28">
        <v>3840</v>
      </c>
      <c r="F232" s="28">
        <v>2160</v>
      </c>
      <c r="G232" s="28">
        <v>459</v>
      </c>
      <c r="H232" s="28">
        <v>0.5</v>
      </c>
      <c r="I232" s="28">
        <f>Table14[[#This Row],[width_scalebar_mm]]/Table14[[#This Row],[width_scalebar_px]]</f>
        <v>1.0893246187363835E-3</v>
      </c>
      <c r="J232" s="28">
        <v>0</v>
      </c>
      <c r="K232" s="28">
        <v>1671171</v>
      </c>
      <c r="L232" s="28">
        <v>4621</v>
      </c>
      <c r="M232" s="28">
        <v>311275</v>
      </c>
      <c r="N232" s="28">
        <v>1994</v>
      </c>
      <c r="O232" s="28">
        <v>37790</v>
      </c>
      <c r="P232" s="28">
        <v>853</v>
      </c>
      <c r="Q232" s="28"/>
      <c r="R232" s="28"/>
      <c r="S232" s="28">
        <v>11</v>
      </c>
    </row>
    <row r="233" spans="1:19">
      <c r="A233" s="27" t="s">
        <v>26</v>
      </c>
      <c r="B233" s="28" t="s">
        <v>21</v>
      </c>
      <c r="C233" s="28" t="s">
        <v>5</v>
      </c>
      <c r="D233" s="28">
        <v>2</v>
      </c>
      <c r="E233" s="28">
        <v>3840</v>
      </c>
      <c r="F233" s="28">
        <v>2160</v>
      </c>
      <c r="G233" s="28">
        <v>459</v>
      </c>
      <c r="H233" s="28">
        <v>0.5</v>
      </c>
      <c r="I233" s="28">
        <f>Table14[[#This Row],[width_scalebar_mm]]/Table14[[#This Row],[width_scalebar_px]]</f>
        <v>1.0893246187363835E-3</v>
      </c>
      <c r="J233" s="28">
        <v>2</v>
      </c>
      <c r="K233" s="28">
        <v>1883259</v>
      </c>
      <c r="L233" s="28">
        <v>4911</v>
      </c>
      <c r="M233" s="28">
        <v>392354</v>
      </c>
      <c r="N233" s="28">
        <v>2239</v>
      </c>
      <c r="O233" s="28">
        <v>45222</v>
      </c>
      <c r="P233" s="28">
        <v>1080</v>
      </c>
      <c r="Q233" s="28"/>
      <c r="R233" s="28"/>
      <c r="S233" s="28">
        <v>12</v>
      </c>
    </row>
    <row r="234" spans="1:19">
      <c r="A234" s="27" t="s">
        <v>26</v>
      </c>
      <c r="B234" s="28" t="s">
        <v>21</v>
      </c>
      <c r="C234" s="28" t="s">
        <v>5</v>
      </c>
      <c r="D234" s="28">
        <v>3</v>
      </c>
      <c r="E234" s="28">
        <v>3840</v>
      </c>
      <c r="F234" s="28">
        <v>2160</v>
      </c>
      <c r="G234" s="28">
        <v>459</v>
      </c>
      <c r="H234" s="28">
        <v>0.5</v>
      </c>
      <c r="I234" s="28">
        <f>Table14[[#This Row],[width_scalebar_mm]]/Table14[[#This Row],[width_scalebar_px]]</f>
        <v>1.0893246187363835E-3</v>
      </c>
      <c r="J234" s="28">
        <v>2</v>
      </c>
      <c r="K234" s="28">
        <v>1889289</v>
      </c>
      <c r="L234" s="28">
        <v>4912</v>
      </c>
      <c r="M234" s="28">
        <v>401985</v>
      </c>
      <c r="N234" s="28">
        <v>2265</v>
      </c>
      <c r="O234" s="28">
        <v>53022</v>
      </c>
      <c r="P234" s="28">
        <v>1421</v>
      </c>
      <c r="Q234" s="28"/>
      <c r="R234" s="28"/>
      <c r="S234" s="28">
        <v>12</v>
      </c>
    </row>
    <row r="235" spans="1:19">
      <c r="A235" s="27" t="s">
        <v>26</v>
      </c>
      <c r="B235" s="28" t="s">
        <v>21</v>
      </c>
      <c r="C235" s="28" t="s">
        <v>5</v>
      </c>
      <c r="D235" s="28">
        <v>4</v>
      </c>
      <c r="E235" s="28">
        <v>3840</v>
      </c>
      <c r="F235" s="28">
        <v>2160</v>
      </c>
      <c r="G235" s="28">
        <v>459</v>
      </c>
      <c r="H235" s="28">
        <v>0.5</v>
      </c>
      <c r="I235" s="28">
        <f>Table14[[#This Row],[width_scalebar_mm]]/Table14[[#This Row],[width_scalebar_px]]</f>
        <v>1.0893246187363835E-3</v>
      </c>
      <c r="J235" s="28">
        <v>2</v>
      </c>
      <c r="K235" s="28">
        <v>1665390</v>
      </c>
      <c r="L235" s="28">
        <v>4620</v>
      </c>
      <c r="M235" s="28">
        <v>385479</v>
      </c>
      <c r="N235" s="28">
        <v>2221</v>
      </c>
      <c r="O235" s="28">
        <v>48338</v>
      </c>
      <c r="P235" s="28">
        <v>1369</v>
      </c>
      <c r="Q235" s="28"/>
      <c r="R235" s="28"/>
      <c r="S235" s="28">
        <v>12</v>
      </c>
    </row>
    <row r="236" spans="1:19">
      <c r="A236" s="27" t="s">
        <v>26</v>
      </c>
      <c r="B236" s="28" t="s">
        <v>21</v>
      </c>
      <c r="C236" s="28" t="s">
        <v>5</v>
      </c>
      <c r="D236" s="28">
        <v>5</v>
      </c>
      <c r="E236" s="28">
        <v>3840</v>
      </c>
      <c r="F236" s="28">
        <v>2160</v>
      </c>
      <c r="G236" s="28">
        <v>459</v>
      </c>
      <c r="H236" s="28">
        <v>0.5</v>
      </c>
      <c r="I236" s="28">
        <f>Table14[[#This Row],[width_scalebar_mm]]/Table14[[#This Row],[width_scalebar_px]]</f>
        <v>1.0893246187363835E-3</v>
      </c>
      <c r="J236" s="28">
        <v>3</v>
      </c>
      <c r="K236" s="28">
        <v>1737363</v>
      </c>
      <c r="L236" s="28">
        <v>4703</v>
      </c>
      <c r="M236" s="28">
        <v>401492</v>
      </c>
      <c r="N236" s="28">
        <v>2273</v>
      </c>
      <c r="O236" s="28">
        <v>45180</v>
      </c>
      <c r="P236" s="28">
        <v>1086</v>
      </c>
      <c r="Q236" s="28"/>
      <c r="R236" s="28"/>
      <c r="S236" s="28">
        <v>13</v>
      </c>
    </row>
    <row r="237" spans="1:19">
      <c r="A237" s="27" t="s">
        <v>26</v>
      </c>
      <c r="B237" s="28" t="s">
        <v>21</v>
      </c>
      <c r="C237" s="28" t="s">
        <v>5</v>
      </c>
      <c r="D237" s="28">
        <v>6</v>
      </c>
      <c r="E237" s="28">
        <v>3840</v>
      </c>
      <c r="F237" s="28">
        <v>2160</v>
      </c>
      <c r="G237" s="28">
        <v>204</v>
      </c>
      <c r="H237" s="28">
        <v>0.2</v>
      </c>
      <c r="I237" s="28">
        <f>Table14[[#This Row],[width_scalebar_mm]]/Table14[[#This Row],[width_scalebar_px]]</f>
        <v>9.8039215686274508E-4</v>
      </c>
      <c r="J237" s="28">
        <v>3</v>
      </c>
      <c r="K237" s="28">
        <v>2190648</v>
      </c>
      <c r="L237" s="28">
        <v>5280</v>
      </c>
      <c r="M237" s="28">
        <v>527830</v>
      </c>
      <c r="N237" s="28">
        <v>2588</v>
      </c>
      <c r="O237" s="28">
        <v>70480</v>
      </c>
      <c r="P237" s="28">
        <v>1661</v>
      </c>
      <c r="Q237" s="28"/>
      <c r="R237" s="28"/>
      <c r="S237" s="28">
        <v>13</v>
      </c>
    </row>
    <row r="238" spans="1:19">
      <c r="A238" s="27" t="s">
        <v>26</v>
      </c>
      <c r="B238" s="28" t="s">
        <v>21</v>
      </c>
      <c r="C238" s="28" t="s">
        <v>5</v>
      </c>
      <c r="D238" s="28">
        <v>7</v>
      </c>
      <c r="E238" s="28">
        <v>3840</v>
      </c>
      <c r="F238" s="28">
        <v>2160</v>
      </c>
      <c r="G238" s="28">
        <v>204</v>
      </c>
      <c r="H238" s="28">
        <v>0.2</v>
      </c>
      <c r="I238" s="28">
        <f>Table14[[#This Row],[width_scalebar_mm]]/Table14[[#This Row],[width_scalebar_px]]</f>
        <v>9.8039215686274508E-4</v>
      </c>
      <c r="J238" s="28">
        <v>3</v>
      </c>
      <c r="K238" s="28">
        <v>2136306</v>
      </c>
      <c r="L238" s="28">
        <v>5234</v>
      </c>
      <c r="M238" s="28">
        <v>545009</v>
      </c>
      <c r="N238" s="28">
        <v>2633</v>
      </c>
      <c r="O238" s="28">
        <v>70850</v>
      </c>
      <c r="P238" s="28">
        <v>1547</v>
      </c>
      <c r="Q238" s="28"/>
      <c r="R238" s="28"/>
      <c r="S238" s="28">
        <v>13</v>
      </c>
    </row>
    <row r="239" spans="1:19">
      <c r="A239" s="27" t="s">
        <v>26</v>
      </c>
      <c r="B239" s="28" t="s">
        <v>21</v>
      </c>
      <c r="C239" s="28" t="s">
        <v>5</v>
      </c>
      <c r="D239" s="28">
        <v>8</v>
      </c>
      <c r="E239" s="28">
        <v>3840</v>
      </c>
      <c r="F239" s="28">
        <v>2160</v>
      </c>
      <c r="G239" s="28">
        <v>204</v>
      </c>
      <c r="H239" s="28">
        <v>0.2</v>
      </c>
      <c r="I239" s="28">
        <f>Table14[[#This Row],[width_scalebar_mm]]/Table14[[#This Row],[width_scalebar_px]]</f>
        <v>9.8039215686274508E-4</v>
      </c>
      <c r="J239" s="28">
        <v>3</v>
      </c>
      <c r="K239" s="28">
        <v>2007555</v>
      </c>
      <c r="L239" s="28">
        <v>5049</v>
      </c>
      <c r="M239" s="28">
        <v>534730</v>
      </c>
      <c r="N239" s="28">
        <v>2609</v>
      </c>
      <c r="O239" s="28">
        <v>86951</v>
      </c>
      <c r="P239" s="28">
        <v>2226</v>
      </c>
      <c r="Q239" s="28"/>
      <c r="R239" s="28"/>
      <c r="S239" s="28">
        <v>14</v>
      </c>
    </row>
    <row r="240" spans="1:19">
      <c r="A240" s="27" t="s">
        <v>26</v>
      </c>
      <c r="B240" s="28" t="s">
        <v>21</v>
      </c>
      <c r="C240" s="28" t="s">
        <v>5</v>
      </c>
      <c r="D240" s="28">
        <v>9</v>
      </c>
      <c r="E240" s="28">
        <v>3840</v>
      </c>
      <c r="F240" s="28">
        <v>2160</v>
      </c>
      <c r="G240" s="28">
        <v>204</v>
      </c>
      <c r="H240" s="28">
        <v>0.2</v>
      </c>
      <c r="I240" s="28">
        <f>Table14[[#This Row],[width_scalebar_mm]]/Table14[[#This Row],[width_scalebar_px]]</f>
        <v>9.8039215686274508E-4</v>
      </c>
      <c r="J240" s="28">
        <v>4</v>
      </c>
      <c r="K240" s="28">
        <v>2290050</v>
      </c>
      <c r="L240" s="28">
        <v>5402</v>
      </c>
      <c r="M240" s="28">
        <v>563424</v>
      </c>
      <c r="N240" s="28">
        <v>2678</v>
      </c>
      <c r="O240" s="28">
        <v>77769</v>
      </c>
      <c r="P240" s="28">
        <v>1400</v>
      </c>
      <c r="Q240" s="28"/>
      <c r="R240" s="28"/>
      <c r="S240" s="28">
        <v>14</v>
      </c>
    </row>
    <row r="241" spans="1:19">
      <c r="A241" s="27" t="s">
        <v>26</v>
      </c>
      <c r="B241" s="28" t="s">
        <v>21</v>
      </c>
      <c r="C241" s="28" t="s">
        <v>5</v>
      </c>
      <c r="D241" s="28">
        <v>10</v>
      </c>
      <c r="E241" s="28">
        <v>3840</v>
      </c>
      <c r="F241" s="28">
        <v>2160</v>
      </c>
      <c r="G241" s="28">
        <v>204</v>
      </c>
      <c r="H241" s="28">
        <v>0.2</v>
      </c>
      <c r="I241" s="28">
        <f>Table14[[#This Row],[width_scalebar_mm]]/Table14[[#This Row],[width_scalebar_px]]</f>
        <v>9.8039215686274508E-4</v>
      </c>
      <c r="J241" s="28">
        <v>4</v>
      </c>
      <c r="K241" s="28">
        <v>2877438</v>
      </c>
      <c r="L241" s="28">
        <v>6054</v>
      </c>
      <c r="M241" s="28">
        <v>690386</v>
      </c>
      <c r="N241" s="28">
        <v>2973</v>
      </c>
      <c r="O241" s="28">
        <v>148862</v>
      </c>
      <c r="P241" s="28">
        <v>2660</v>
      </c>
      <c r="Q241" s="28"/>
      <c r="R241" s="28"/>
      <c r="S241" s="28">
        <v>14</v>
      </c>
    </row>
    <row r="242" spans="1:19">
      <c r="A242" s="19" t="s">
        <v>27</v>
      </c>
      <c r="B242" s="20" t="s">
        <v>21</v>
      </c>
      <c r="C242" s="20" t="s">
        <v>5</v>
      </c>
      <c r="D242" s="20">
        <v>1</v>
      </c>
      <c r="E242" s="20">
        <v>3840</v>
      </c>
      <c r="F242" s="20">
        <v>2160</v>
      </c>
      <c r="G242" s="20">
        <v>202</v>
      </c>
      <c r="H242" s="20">
        <v>0.2</v>
      </c>
      <c r="I242" s="20">
        <f>Table14[[#This Row],[width_scalebar_mm]]/Table14[[#This Row],[width_scalebar_px]]</f>
        <v>9.9009900990099011E-4</v>
      </c>
      <c r="J242" s="20">
        <v>0</v>
      </c>
      <c r="K242" s="20">
        <v>1678203</v>
      </c>
      <c r="L242" s="20">
        <v>4644</v>
      </c>
      <c r="M242" s="20">
        <v>227816</v>
      </c>
      <c r="N242" s="20">
        <v>1704</v>
      </c>
      <c r="O242" s="20">
        <v>24393</v>
      </c>
      <c r="P242" s="20">
        <v>711</v>
      </c>
      <c r="Q242" s="20"/>
      <c r="R242" s="20"/>
      <c r="S242" s="20">
        <v>10</v>
      </c>
    </row>
    <row r="243" spans="1:19">
      <c r="A243" s="19" t="s">
        <v>27</v>
      </c>
      <c r="B243" s="20" t="s">
        <v>21</v>
      </c>
      <c r="C243" s="20" t="s">
        <v>5</v>
      </c>
      <c r="D243" s="20">
        <v>2</v>
      </c>
      <c r="E243" s="20">
        <v>3840</v>
      </c>
      <c r="F243" s="20">
        <v>2160</v>
      </c>
      <c r="G243" s="20">
        <v>204</v>
      </c>
      <c r="H243" s="20">
        <v>0.2</v>
      </c>
      <c r="I243" s="20">
        <f>Table14[[#This Row],[width_scalebar_mm]]/Table14[[#This Row],[width_scalebar_px]]</f>
        <v>9.8039215686274508E-4</v>
      </c>
      <c r="J243" s="20">
        <v>2</v>
      </c>
      <c r="K243" s="20">
        <v>1682040</v>
      </c>
      <c r="L243" s="20">
        <v>4721</v>
      </c>
      <c r="M243" s="20">
        <v>279981</v>
      </c>
      <c r="N243" s="20">
        <v>1911</v>
      </c>
      <c r="O243" s="20">
        <v>34250</v>
      </c>
      <c r="P243" s="20">
        <v>841</v>
      </c>
      <c r="Q243" s="20"/>
      <c r="R243" s="20"/>
      <c r="S243" s="20">
        <v>10</v>
      </c>
    </row>
    <row r="244" spans="1:19">
      <c r="A244" s="19" t="s">
        <v>27</v>
      </c>
      <c r="B244" s="20" t="s">
        <v>21</v>
      </c>
      <c r="C244" s="20" t="s">
        <v>5</v>
      </c>
      <c r="D244" s="20">
        <v>3</v>
      </c>
      <c r="E244" s="20">
        <v>3840</v>
      </c>
      <c r="F244" s="20">
        <v>2160</v>
      </c>
      <c r="G244" s="20">
        <v>203</v>
      </c>
      <c r="H244" s="20">
        <v>0.2</v>
      </c>
      <c r="I244" s="20">
        <f>Table14[[#This Row],[width_scalebar_mm]]/Table14[[#This Row],[width_scalebar_px]]</f>
        <v>9.8522167487684743E-4</v>
      </c>
      <c r="J244" s="20">
        <v>2</v>
      </c>
      <c r="K244" s="20">
        <v>2314035</v>
      </c>
      <c r="L244" s="20">
        <v>5429</v>
      </c>
      <c r="M244" s="20">
        <v>428587</v>
      </c>
      <c r="N244" s="20">
        <v>2335</v>
      </c>
      <c r="O244" s="20">
        <v>60628</v>
      </c>
      <c r="P244" s="20">
        <v>1217</v>
      </c>
      <c r="Q244" s="20"/>
      <c r="R244" s="20"/>
      <c r="S244" s="20">
        <v>12</v>
      </c>
    </row>
    <row r="245" spans="1:19">
      <c r="A245" s="19" t="s">
        <v>27</v>
      </c>
      <c r="B245" s="20" t="s">
        <v>21</v>
      </c>
      <c r="C245" s="20" t="s">
        <v>5</v>
      </c>
      <c r="D245" s="20">
        <v>4</v>
      </c>
      <c r="E245" s="20">
        <v>3840</v>
      </c>
      <c r="F245" s="20">
        <v>2160</v>
      </c>
      <c r="G245" s="20">
        <v>203</v>
      </c>
      <c r="H245" s="20">
        <v>0.2</v>
      </c>
      <c r="I245" s="20">
        <f>Table14[[#This Row],[width_scalebar_mm]]/Table14[[#This Row],[width_scalebar_px]]</f>
        <v>9.8522167487684743E-4</v>
      </c>
      <c r="J245" s="20">
        <v>2</v>
      </c>
      <c r="K245" s="20">
        <v>2102199</v>
      </c>
      <c r="L245" s="20">
        <v>5167</v>
      </c>
      <c r="M245" s="20">
        <v>428806</v>
      </c>
      <c r="N245" s="20">
        <v>2339</v>
      </c>
      <c r="O245" s="20">
        <v>58487</v>
      </c>
      <c r="P245" s="20">
        <v>1075</v>
      </c>
      <c r="Q245" s="20"/>
      <c r="R245" s="20"/>
      <c r="S245" s="20">
        <v>12</v>
      </c>
    </row>
    <row r="246" spans="1:19">
      <c r="A246" s="19" t="s">
        <v>27</v>
      </c>
      <c r="B246" s="20" t="s">
        <v>21</v>
      </c>
      <c r="C246" s="20" t="s">
        <v>5</v>
      </c>
      <c r="D246" s="20">
        <v>5</v>
      </c>
      <c r="E246" s="20">
        <v>3840</v>
      </c>
      <c r="F246" s="20">
        <v>2160</v>
      </c>
      <c r="G246" s="20">
        <v>202</v>
      </c>
      <c r="H246" s="20">
        <v>0.2</v>
      </c>
      <c r="I246" s="20">
        <f>Table14[[#This Row],[width_scalebar_mm]]/Table14[[#This Row],[width_scalebar_px]]</f>
        <v>9.9009900990099011E-4</v>
      </c>
      <c r="J246" s="20">
        <v>4</v>
      </c>
      <c r="K246" s="20">
        <v>2155650</v>
      </c>
      <c r="L246" s="20">
        <v>5235</v>
      </c>
      <c r="M246" s="20">
        <v>440170</v>
      </c>
      <c r="N246" s="20">
        <v>2374</v>
      </c>
      <c r="O246" s="20">
        <v>65875</v>
      </c>
      <c r="P246" s="20">
        <v>1536</v>
      </c>
      <c r="Q246" s="20"/>
      <c r="R246" s="20"/>
      <c r="S246" s="20">
        <v>12</v>
      </c>
    </row>
    <row r="247" spans="1:19">
      <c r="A247" s="19" t="s">
        <v>27</v>
      </c>
      <c r="B247" s="20" t="s">
        <v>21</v>
      </c>
      <c r="C247" s="20" t="s">
        <v>5</v>
      </c>
      <c r="D247" s="20">
        <v>6</v>
      </c>
      <c r="E247" s="20">
        <v>3840</v>
      </c>
      <c r="F247" s="20">
        <v>2160</v>
      </c>
      <c r="G247" s="20">
        <v>202</v>
      </c>
      <c r="H247" s="20">
        <v>0.2</v>
      </c>
      <c r="I247" s="20">
        <f>Table14[[#This Row],[width_scalebar_mm]]/Table14[[#This Row],[width_scalebar_px]]</f>
        <v>9.9009900990099011E-4</v>
      </c>
      <c r="J247" s="20">
        <v>4</v>
      </c>
      <c r="K247" s="20">
        <v>1911333</v>
      </c>
      <c r="L247" s="20">
        <v>4930</v>
      </c>
      <c r="M247" s="20">
        <v>464681</v>
      </c>
      <c r="N247" s="20">
        <v>2430</v>
      </c>
      <c r="O247" s="20">
        <v>66670</v>
      </c>
      <c r="P247" s="20">
        <v>1590</v>
      </c>
      <c r="Q247" s="20"/>
      <c r="R247" s="20"/>
      <c r="S247" s="20">
        <v>12</v>
      </c>
    </row>
    <row r="248" spans="1:19">
      <c r="A248" s="19" t="s">
        <v>27</v>
      </c>
      <c r="B248" s="20" t="s">
        <v>21</v>
      </c>
      <c r="C248" s="20" t="s">
        <v>5</v>
      </c>
      <c r="D248" s="20">
        <v>7</v>
      </c>
      <c r="E248" s="20">
        <v>3840</v>
      </c>
      <c r="F248" s="20">
        <v>2160</v>
      </c>
      <c r="G248" s="20">
        <v>202</v>
      </c>
      <c r="H248" s="20">
        <v>0.2</v>
      </c>
      <c r="I248" s="20">
        <f>Table14[[#This Row],[width_scalebar_mm]]/Table14[[#This Row],[width_scalebar_px]]</f>
        <v>9.9009900990099011E-4</v>
      </c>
      <c r="J248" s="20">
        <v>4</v>
      </c>
      <c r="K248" s="20">
        <v>2466615</v>
      </c>
      <c r="L248" s="20">
        <v>5611</v>
      </c>
      <c r="M248" s="20">
        <v>530270</v>
      </c>
      <c r="N248" s="20">
        <v>2598</v>
      </c>
      <c r="O248" s="20">
        <v>94868</v>
      </c>
      <c r="P248" s="20">
        <v>1601</v>
      </c>
      <c r="Q248" s="20"/>
      <c r="R248" s="20"/>
      <c r="S248" s="20">
        <v>13</v>
      </c>
    </row>
    <row r="249" spans="1:19">
      <c r="A249" s="19" t="s">
        <v>27</v>
      </c>
      <c r="B249" s="20" t="s">
        <v>21</v>
      </c>
      <c r="C249" s="20" t="s">
        <v>5</v>
      </c>
      <c r="D249" s="20">
        <v>8</v>
      </c>
      <c r="E249" s="20">
        <v>3840</v>
      </c>
      <c r="F249" s="20">
        <v>2160</v>
      </c>
      <c r="G249" s="20">
        <v>202</v>
      </c>
      <c r="H249" s="20">
        <v>0.2</v>
      </c>
      <c r="I249" s="20">
        <f>Table14[[#This Row],[width_scalebar_mm]]/Table14[[#This Row],[width_scalebar_px]]</f>
        <v>9.9009900990099011E-4</v>
      </c>
      <c r="J249" s="20">
        <v>4</v>
      </c>
      <c r="K249" s="20">
        <v>2187903</v>
      </c>
      <c r="L249" s="20">
        <v>5287</v>
      </c>
      <c r="M249" s="20">
        <v>534570</v>
      </c>
      <c r="N249" s="20">
        <v>2618</v>
      </c>
      <c r="O249" s="20">
        <v>96386</v>
      </c>
      <c r="P249" s="20">
        <v>1637</v>
      </c>
      <c r="Q249" s="20"/>
      <c r="R249" s="20"/>
      <c r="S249" s="20">
        <v>15</v>
      </c>
    </row>
    <row r="250" spans="1:19">
      <c r="A250" s="19" t="s">
        <v>27</v>
      </c>
      <c r="B250" s="20" t="s">
        <v>21</v>
      </c>
      <c r="C250" s="20" t="s">
        <v>5</v>
      </c>
      <c r="D250" s="20">
        <v>9</v>
      </c>
      <c r="E250" s="20">
        <v>3840</v>
      </c>
      <c r="F250" s="20">
        <v>2160</v>
      </c>
      <c r="G250" s="20">
        <v>202</v>
      </c>
      <c r="H250" s="20">
        <v>0.2</v>
      </c>
      <c r="I250" s="20">
        <f>Table14[[#This Row],[width_scalebar_mm]]/Table14[[#This Row],[width_scalebar_px]]</f>
        <v>9.9009900990099011E-4</v>
      </c>
      <c r="J250" s="20">
        <v>4</v>
      </c>
      <c r="K250" s="20">
        <v>2610015</v>
      </c>
      <c r="L250" s="20">
        <v>5774</v>
      </c>
      <c r="M250" s="20">
        <v>632165</v>
      </c>
      <c r="N250" s="20">
        <v>2836</v>
      </c>
      <c r="O250" s="20">
        <v>126265</v>
      </c>
      <c r="P250" s="20">
        <v>1925</v>
      </c>
      <c r="Q250" s="20"/>
      <c r="R250" s="20"/>
      <c r="S250" s="20">
        <v>15</v>
      </c>
    </row>
    <row r="251" spans="1:19">
      <c r="A251" s="19" t="s">
        <v>27</v>
      </c>
      <c r="B251" s="20" t="s">
        <v>21</v>
      </c>
      <c r="C251" s="20" t="s">
        <v>5</v>
      </c>
      <c r="D251" s="20">
        <v>10</v>
      </c>
      <c r="E251" s="20">
        <v>3840</v>
      </c>
      <c r="F251" s="20">
        <v>2160</v>
      </c>
      <c r="G251" s="20">
        <v>202</v>
      </c>
      <c r="H251" s="20">
        <v>0.2</v>
      </c>
      <c r="I251" s="20">
        <f>Table14[[#This Row],[width_scalebar_mm]]/Table14[[#This Row],[width_scalebar_px]]</f>
        <v>9.9009900990099011E-4</v>
      </c>
      <c r="J251" s="20">
        <v>4</v>
      </c>
      <c r="K251" s="20">
        <v>3084669</v>
      </c>
      <c r="L251" s="20">
        <v>6270</v>
      </c>
      <c r="M251" s="20">
        <v>717716</v>
      </c>
      <c r="N251" s="20">
        <v>3026</v>
      </c>
      <c r="O251" s="20">
        <v>177218</v>
      </c>
      <c r="P251" s="20">
        <v>2317</v>
      </c>
      <c r="Q251" s="20"/>
      <c r="R251" s="20"/>
      <c r="S251" s="20">
        <v>15</v>
      </c>
    </row>
    <row r="252" spans="1:19">
      <c r="A252" s="19" t="s">
        <v>27</v>
      </c>
      <c r="B252" s="20" t="s">
        <v>21</v>
      </c>
      <c r="C252" s="20" t="s">
        <v>5</v>
      </c>
      <c r="D252" s="20">
        <v>11</v>
      </c>
      <c r="E252" s="20">
        <v>3840</v>
      </c>
      <c r="F252" s="20">
        <v>2160</v>
      </c>
      <c r="G252" s="20">
        <v>202</v>
      </c>
      <c r="H252" s="20">
        <v>0.2</v>
      </c>
      <c r="I252" s="20">
        <f>Table14[[#This Row],[width_scalebar_mm]]/Table14[[#This Row],[width_scalebar_px]]</f>
        <v>9.9009900990099011E-4</v>
      </c>
      <c r="J252" s="20">
        <v>4</v>
      </c>
      <c r="K252" s="20">
        <v>3324003</v>
      </c>
      <c r="L252" s="20">
        <v>6492</v>
      </c>
      <c r="M252" s="20">
        <v>859543</v>
      </c>
      <c r="N252" s="20">
        <v>3313</v>
      </c>
      <c r="O252" s="20">
        <v>263475</v>
      </c>
      <c r="P252" s="20">
        <v>2942</v>
      </c>
      <c r="Q252" s="20"/>
      <c r="R252" s="20"/>
      <c r="S252" s="20">
        <v>15</v>
      </c>
    </row>
    <row r="253" spans="1:19">
      <c r="A253" s="19" t="s">
        <v>27</v>
      </c>
      <c r="B253" s="20" t="s">
        <v>21</v>
      </c>
      <c r="C253" s="20" t="s">
        <v>5</v>
      </c>
      <c r="D253" s="20">
        <v>12</v>
      </c>
      <c r="E253" s="20">
        <v>3840</v>
      </c>
      <c r="F253" s="20">
        <v>2160</v>
      </c>
      <c r="G253" s="20">
        <v>248</v>
      </c>
      <c r="H253" s="20">
        <v>0.5</v>
      </c>
      <c r="I253" s="20">
        <f>Table14[[#This Row],[width_scalebar_mm]]/Table14[[#This Row],[width_scalebar_px]]</f>
        <v>2.0161290322580645E-3</v>
      </c>
      <c r="J253" s="20">
        <v>4</v>
      </c>
      <c r="K253" s="20">
        <v>1142640</v>
      </c>
      <c r="L253" s="20">
        <v>3819</v>
      </c>
      <c r="M253" s="20">
        <v>331391</v>
      </c>
      <c r="N253" s="20">
        <v>2057</v>
      </c>
      <c r="O253" s="20">
        <v>128050</v>
      </c>
      <c r="P253" s="20">
        <v>1960</v>
      </c>
      <c r="Q253" s="20"/>
      <c r="R253" s="20"/>
      <c r="S253" s="20">
        <v>17</v>
      </c>
    </row>
    <row r="254" spans="1:19">
      <c r="A254" s="27" t="s">
        <v>28</v>
      </c>
      <c r="B254" s="28" t="s">
        <v>21</v>
      </c>
      <c r="C254" s="28" t="s">
        <v>8</v>
      </c>
      <c r="D254" s="28">
        <v>1</v>
      </c>
      <c r="E254" s="28">
        <v>3840</v>
      </c>
      <c r="F254" s="28">
        <v>2160</v>
      </c>
      <c r="G254" s="28">
        <v>201</v>
      </c>
      <c r="H254" s="28">
        <v>0.2</v>
      </c>
      <c r="I254" s="28">
        <f>Table14[[#This Row],[width_scalebar_mm]]/Table14[[#This Row],[width_scalebar_px]]</f>
        <v>9.950248756218907E-4</v>
      </c>
      <c r="J254" s="28" t="s">
        <v>287</v>
      </c>
      <c r="K254" s="65" t="s">
        <v>287</v>
      </c>
      <c r="L254" s="28" t="s">
        <v>287</v>
      </c>
      <c r="M254" s="28" t="s">
        <v>287</v>
      </c>
      <c r="N254" s="28" t="s">
        <v>287</v>
      </c>
      <c r="O254" s="28" t="s">
        <v>287</v>
      </c>
      <c r="P254" s="28" t="s">
        <v>287</v>
      </c>
      <c r="Q254" s="28"/>
      <c r="R254" s="28"/>
      <c r="S254" s="28" t="s">
        <v>287</v>
      </c>
    </row>
    <row r="255" spans="1:19">
      <c r="A255" s="27" t="s">
        <v>28</v>
      </c>
      <c r="B255" s="28" t="s">
        <v>21</v>
      </c>
      <c r="C255" s="28" t="s">
        <v>8</v>
      </c>
      <c r="D255" s="28">
        <v>2</v>
      </c>
      <c r="E255" s="28">
        <v>3840</v>
      </c>
      <c r="F255" s="28">
        <v>2160</v>
      </c>
      <c r="G255" s="28">
        <v>201</v>
      </c>
      <c r="H255" s="28">
        <v>0.2</v>
      </c>
      <c r="I255" s="28">
        <f>Table14[[#This Row],[width_scalebar_mm]]/Table14[[#This Row],[width_scalebar_px]]</f>
        <v>9.950248756218907E-4</v>
      </c>
      <c r="J255" s="28">
        <v>0</v>
      </c>
      <c r="K255" s="28">
        <v>686517</v>
      </c>
      <c r="L255" s="28">
        <v>3104</v>
      </c>
      <c r="M255" s="28">
        <v>144109</v>
      </c>
      <c r="N255" s="28">
        <v>1366</v>
      </c>
      <c r="O255" s="28">
        <v>15741</v>
      </c>
      <c r="P255" s="28">
        <v>520</v>
      </c>
      <c r="Q255" s="28"/>
      <c r="R255" s="28"/>
      <c r="S255" s="28" t="s">
        <v>287</v>
      </c>
    </row>
    <row r="256" spans="1:19">
      <c r="A256" s="27" t="s">
        <v>28</v>
      </c>
      <c r="B256" s="28" t="s">
        <v>21</v>
      </c>
      <c r="C256" s="28" t="s">
        <v>8</v>
      </c>
      <c r="D256" s="28">
        <v>3</v>
      </c>
      <c r="E256" s="28">
        <v>3840</v>
      </c>
      <c r="F256" s="28">
        <v>2160</v>
      </c>
      <c r="G256" s="28">
        <v>201</v>
      </c>
      <c r="H256" s="28">
        <v>0.2</v>
      </c>
      <c r="I256" s="28">
        <f>Table14[[#This Row],[width_scalebar_mm]]/Table14[[#This Row],[width_scalebar_px]]</f>
        <v>9.950248756218907E-4</v>
      </c>
      <c r="J256" s="28">
        <v>0</v>
      </c>
      <c r="K256" s="28">
        <v>783922</v>
      </c>
      <c r="L256" s="28">
        <v>3944</v>
      </c>
      <c r="M256" s="28">
        <v>200850</v>
      </c>
      <c r="N256" s="28">
        <v>1635</v>
      </c>
      <c r="O256" s="28">
        <v>22430</v>
      </c>
      <c r="P256" s="28">
        <v>708</v>
      </c>
      <c r="Q256" s="28"/>
      <c r="R256" s="28"/>
      <c r="S256" s="28">
        <v>9</v>
      </c>
    </row>
    <row r="257" spans="1:19">
      <c r="A257" s="27" t="s">
        <v>28</v>
      </c>
      <c r="B257" s="28" t="s">
        <v>21</v>
      </c>
      <c r="C257" s="28" t="s">
        <v>8</v>
      </c>
      <c r="D257" s="28">
        <v>4</v>
      </c>
      <c r="E257" s="28">
        <v>3840</v>
      </c>
      <c r="F257" s="28">
        <v>2160</v>
      </c>
      <c r="G257" s="28">
        <v>201</v>
      </c>
      <c r="H257" s="28">
        <v>0.2</v>
      </c>
      <c r="I257" s="28">
        <f>Table14[[#This Row],[width_scalebar_mm]]/Table14[[#This Row],[width_scalebar_px]]</f>
        <v>9.950248756218907E-4</v>
      </c>
      <c r="J257" s="28">
        <v>0</v>
      </c>
      <c r="K257" s="28">
        <v>1086863</v>
      </c>
      <c r="L257" s="28">
        <v>4020</v>
      </c>
      <c r="M257" s="28">
        <v>253547</v>
      </c>
      <c r="N257" s="28">
        <v>1800</v>
      </c>
      <c r="O257" s="28">
        <v>27103</v>
      </c>
      <c r="P257" s="28">
        <v>777</v>
      </c>
      <c r="Q257" s="28"/>
      <c r="R257" s="28"/>
      <c r="S257" s="28">
        <v>11</v>
      </c>
    </row>
    <row r="258" spans="1:19">
      <c r="A258" s="27" t="s">
        <v>28</v>
      </c>
      <c r="B258" s="28" t="s">
        <v>21</v>
      </c>
      <c r="C258" s="28" t="s">
        <v>8</v>
      </c>
      <c r="D258" s="28">
        <v>5</v>
      </c>
      <c r="E258" s="28">
        <v>3840</v>
      </c>
      <c r="F258" s="28">
        <v>2160</v>
      </c>
      <c r="G258" s="28">
        <v>201</v>
      </c>
      <c r="H258" s="28">
        <v>0.2</v>
      </c>
      <c r="I258" s="28">
        <f>Table14[[#This Row],[width_scalebar_mm]]/Table14[[#This Row],[width_scalebar_px]]</f>
        <v>9.950248756218907E-4</v>
      </c>
      <c r="J258" s="28">
        <v>0</v>
      </c>
      <c r="K258" s="28">
        <v>1877601</v>
      </c>
      <c r="L258" s="28">
        <v>5144</v>
      </c>
      <c r="M258" s="28">
        <v>353215</v>
      </c>
      <c r="N258" s="28">
        <v>2127</v>
      </c>
      <c r="O258" s="28">
        <v>56318</v>
      </c>
      <c r="P258" s="28">
        <v>1178</v>
      </c>
      <c r="Q258" s="28"/>
      <c r="R258" s="28"/>
      <c r="S258" s="28">
        <v>12</v>
      </c>
    </row>
    <row r="259" spans="1:19">
      <c r="A259" s="27" t="s">
        <v>28</v>
      </c>
      <c r="B259" s="28" t="s">
        <v>21</v>
      </c>
      <c r="C259" s="28" t="s">
        <v>8</v>
      </c>
      <c r="D259" s="28">
        <v>6</v>
      </c>
      <c r="E259" s="28">
        <v>3840</v>
      </c>
      <c r="F259" s="28">
        <v>2160</v>
      </c>
      <c r="G259" s="28">
        <v>201</v>
      </c>
      <c r="H259" s="28">
        <v>0.2</v>
      </c>
      <c r="I259" s="28">
        <f>Table14[[#This Row],[width_scalebar_mm]]/Table14[[#This Row],[width_scalebar_px]]</f>
        <v>9.950248756218907E-4</v>
      </c>
      <c r="J259" s="28">
        <v>0</v>
      </c>
      <c r="K259" s="28">
        <v>2641215</v>
      </c>
      <c r="L259" s="28">
        <v>6293</v>
      </c>
      <c r="M259" s="28">
        <v>457884</v>
      </c>
      <c r="N259" s="28">
        <v>2424</v>
      </c>
      <c r="O259" s="28">
        <v>65917</v>
      </c>
      <c r="P259" s="28">
        <v>1359</v>
      </c>
      <c r="Q259" s="28"/>
      <c r="R259" s="28"/>
      <c r="S259" s="28">
        <v>14</v>
      </c>
    </row>
    <row r="260" spans="1:19">
      <c r="A260" s="27" t="s">
        <v>28</v>
      </c>
      <c r="B260" s="28" t="s">
        <v>21</v>
      </c>
      <c r="C260" s="28" t="s">
        <v>8</v>
      </c>
      <c r="D260" s="28">
        <v>7</v>
      </c>
      <c r="E260" s="28">
        <v>3840</v>
      </c>
      <c r="F260" s="28">
        <v>2160</v>
      </c>
      <c r="G260" s="28">
        <v>258</v>
      </c>
      <c r="H260" s="28">
        <v>0.5</v>
      </c>
      <c r="I260" s="28">
        <f>Table14[[#This Row],[width_scalebar_mm]]/Table14[[#This Row],[width_scalebar_px]]</f>
        <v>1.937984496124031E-3</v>
      </c>
      <c r="J260" s="28">
        <v>0</v>
      </c>
      <c r="K260" s="28">
        <v>814642</v>
      </c>
      <c r="L260" s="28">
        <v>3498</v>
      </c>
      <c r="M260" s="28">
        <v>178772</v>
      </c>
      <c r="N260" s="28">
        <v>1514</v>
      </c>
      <c r="O260" s="28">
        <v>24449</v>
      </c>
      <c r="P260" s="28">
        <v>706</v>
      </c>
      <c r="Q260" s="28"/>
      <c r="R260" s="28"/>
      <c r="S260" s="28">
        <v>14</v>
      </c>
    </row>
    <row r="261" spans="1:19">
      <c r="A261" s="27" t="s">
        <v>28</v>
      </c>
      <c r="B261" s="28" t="s">
        <v>21</v>
      </c>
      <c r="C261" s="28" t="s">
        <v>8</v>
      </c>
      <c r="D261" s="28">
        <v>8</v>
      </c>
      <c r="E261" s="28">
        <v>3840</v>
      </c>
      <c r="F261" s="28">
        <v>2160</v>
      </c>
      <c r="G261" s="28">
        <v>258</v>
      </c>
      <c r="H261" s="28">
        <v>0.5</v>
      </c>
      <c r="I261" s="28">
        <f>Table14[[#This Row],[width_scalebar_mm]]/Table14[[#This Row],[width_scalebar_px]]</f>
        <v>1.937984496124031E-3</v>
      </c>
      <c r="J261" s="28">
        <v>2</v>
      </c>
      <c r="K261" s="28">
        <v>696010</v>
      </c>
      <c r="L261" s="28">
        <v>3089</v>
      </c>
      <c r="M261" s="28">
        <v>169839</v>
      </c>
      <c r="N261" s="28">
        <v>1477</v>
      </c>
      <c r="O261" s="28">
        <v>23297</v>
      </c>
      <c r="P261" s="28">
        <v>705</v>
      </c>
      <c r="Q261" s="28"/>
      <c r="R261" s="28"/>
      <c r="S261" s="28">
        <v>14</v>
      </c>
    </row>
    <row r="262" spans="1:19">
      <c r="A262" s="27" t="s">
        <v>28</v>
      </c>
      <c r="B262" s="28" t="s">
        <v>21</v>
      </c>
      <c r="C262" s="28" t="s">
        <v>8</v>
      </c>
      <c r="D262" s="28">
        <v>9</v>
      </c>
      <c r="E262" s="28">
        <v>3840</v>
      </c>
      <c r="F262" s="28">
        <v>2160</v>
      </c>
      <c r="G262" s="28">
        <v>258</v>
      </c>
      <c r="H262" s="28">
        <v>0.5</v>
      </c>
      <c r="I262" s="28">
        <f>Table14[[#This Row],[width_scalebar_mm]]/Table14[[#This Row],[width_scalebar_px]]</f>
        <v>1.937984496124031E-3</v>
      </c>
      <c r="J262" s="28">
        <v>2</v>
      </c>
      <c r="K262" s="28">
        <v>772220</v>
      </c>
      <c r="L262" s="28">
        <v>3217</v>
      </c>
      <c r="M262" s="28">
        <v>217527</v>
      </c>
      <c r="N262" s="28">
        <v>1663</v>
      </c>
      <c r="O262" s="28">
        <v>34570</v>
      </c>
      <c r="P262" s="28">
        <v>872</v>
      </c>
      <c r="Q262" s="28"/>
      <c r="R262" s="28"/>
      <c r="S262" s="28">
        <v>16</v>
      </c>
    </row>
    <row r="263" spans="1:19">
      <c r="A263" s="27" t="s">
        <v>28</v>
      </c>
      <c r="B263" s="28" t="s">
        <v>21</v>
      </c>
      <c r="C263" s="28" t="s">
        <v>8</v>
      </c>
      <c r="D263" s="28">
        <v>10</v>
      </c>
      <c r="E263" s="28">
        <v>3840</v>
      </c>
      <c r="F263" s="28">
        <v>2160</v>
      </c>
      <c r="G263" s="28">
        <v>212</v>
      </c>
      <c r="H263" s="28">
        <v>0.2</v>
      </c>
      <c r="I263" s="28">
        <f>Table14[[#This Row],[width_scalebar_mm]]/Table14[[#This Row],[width_scalebar_px]]</f>
        <v>9.4339622641509435E-4</v>
      </c>
      <c r="J263" s="28">
        <v>3</v>
      </c>
      <c r="K263" s="28">
        <v>3088440</v>
      </c>
      <c r="L263" s="28">
        <v>6539</v>
      </c>
      <c r="M263" s="28">
        <v>924626</v>
      </c>
      <c r="N263" s="28">
        <v>3431</v>
      </c>
      <c r="O263" s="28">
        <v>187200</v>
      </c>
      <c r="P263" s="28">
        <v>2924</v>
      </c>
      <c r="Q263" s="28"/>
      <c r="R263" s="28"/>
      <c r="S263" s="28">
        <v>16</v>
      </c>
    </row>
    <row r="264" spans="1:19">
      <c r="A264" s="27" t="s">
        <v>28</v>
      </c>
      <c r="B264" s="28" t="s">
        <v>21</v>
      </c>
      <c r="C264" s="28" t="s">
        <v>8</v>
      </c>
      <c r="D264" s="28">
        <v>11</v>
      </c>
      <c r="E264" s="28">
        <v>3840</v>
      </c>
      <c r="F264" s="28">
        <v>2160</v>
      </c>
      <c r="G264" s="28">
        <v>386</v>
      </c>
      <c r="H264" s="28">
        <v>0.5</v>
      </c>
      <c r="I264" s="28">
        <f>Table14[[#This Row],[width_scalebar_mm]]/Table14[[#This Row],[width_scalebar_px]]</f>
        <v>1.2953367875647669E-3</v>
      </c>
      <c r="J264" s="28">
        <v>3</v>
      </c>
      <c r="K264" s="28">
        <v>1929750</v>
      </c>
      <c r="L264" s="28">
        <v>5009</v>
      </c>
      <c r="M264" s="28">
        <v>573158</v>
      </c>
      <c r="N264" s="28">
        <v>2706</v>
      </c>
      <c r="O264" s="28">
        <v>116074</v>
      </c>
      <c r="P264" s="28">
        <v>1948</v>
      </c>
      <c r="Q264" s="28"/>
      <c r="R264" s="28"/>
      <c r="S264" s="28">
        <v>17</v>
      </c>
    </row>
    <row r="265" spans="1:19">
      <c r="A265" s="27" t="s">
        <v>28</v>
      </c>
      <c r="B265" s="28" t="s">
        <v>21</v>
      </c>
      <c r="C265" s="28" t="s">
        <v>8</v>
      </c>
      <c r="D265" s="28">
        <v>12</v>
      </c>
      <c r="E265" s="28">
        <v>3840</v>
      </c>
      <c r="F265" s="28">
        <v>2160</v>
      </c>
      <c r="G265" s="28">
        <v>451</v>
      </c>
      <c r="H265" s="28">
        <v>0.5</v>
      </c>
      <c r="I265" s="28">
        <f>Table14[[#This Row],[width_scalebar_mm]]/Table14[[#This Row],[width_scalebar_px]]</f>
        <v>1.1086474501108647E-3</v>
      </c>
      <c r="J265" s="28">
        <v>2</v>
      </c>
      <c r="K265" s="28">
        <v>2923521</v>
      </c>
      <c r="L265" s="28">
        <v>6182</v>
      </c>
      <c r="M265" s="28">
        <v>854264</v>
      </c>
      <c r="N265" s="28">
        <v>3302</v>
      </c>
      <c r="O265" s="28">
        <v>166059</v>
      </c>
      <c r="P265" s="28">
        <v>3344</v>
      </c>
      <c r="Q265" s="28"/>
      <c r="R265" s="28"/>
      <c r="S265" s="28">
        <v>17</v>
      </c>
    </row>
    <row r="266" spans="1:19">
      <c r="A266" s="27" t="s">
        <v>28</v>
      </c>
      <c r="B266" s="28" t="s">
        <v>21</v>
      </c>
      <c r="C266" s="28" t="s">
        <v>8</v>
      </c>
      <c r="D266" s="28">
        <v>13</v>
      </c>
      <c r="E266" s="28">
        <v>3840</v>
      </c>
      <c r="F266" s="28">
        <v>2160</v>
      </c>
      <c r="G266" s="28">
        <v>252</v>
      </c>
      <c r="H266" s="28">
        <v>0.5</v>
      </c>
      <c r="I266" s="28">
        <f>Table14[[#This Row],[width_scalebar_mm]]/Table14[[#This Row],[width_scalebar_px]]</f>
        <v>1.984126984126984E-3</v>
      </c>
      <c r="J266" s="28">
        <v>0</v>
      </c>
      <c r="K266" s="28">
        <v>1043329</v>
      </c>
      <c r="L266" s="28">
        <v>3640</v>
      </c>
      <c r="M266" s="28">
        <v>303111</v>
      </c>
      <c r="N266" s="28">
        <v>1963</v>
      </c>
      <c r="O266" s="28">
        <v>68979</v>
      </c>
      <c r="P266" s="28">
        <v>1307</v>
      </c>
      <c r="Q266" s="28"/>
      <c r="R266" s="28"/>
      <c r="S266" s="28">
        <v>17</v>
      </c>
    </row>
    <row r="267" spans="1:19">
      <c r="A267" s="27" t="s">
        <v>28</v>
      </c>
      <c r="B267" s="28" t="s">
        <v>21</v>
      </c>
      <c r="C267" s="28" t="s">
        <v>8</v>
      </c>
      <c r="D267" s="28">
        <v>14</v>
      </c>
      <c r="E267" s="28">
        <v>3840</v>
      </c>
      <c r="F267" s="28">
        <v>2160</v>
      </c>
      <c r="G267" s="28">
        <v>252</v>
      </c>
      <c r="H267" s="28">
        <v>0.5</v>
      </c>
      <c r="I267" s="28">
        <f>Table14[[#This Row],[width_scalebar_mm]]/Table14[[#This Row],[width_scalebar_px]]</f>
        <v>1.984126984126984E-3</v>
      </c>
      <c r="J267" s="28">
        <v>0</v>
      </c>
      <c r="K267" s="28">
        <v>1276161</v>
      </c>
      <c r="L267" s="28">
        <v>4038</v>
      </c>
      <c r="M267" s="28">
        <v>399428</v>
      </c>
      <c r="N267" s="28">
        <v>2255</v>
      </c>
      <c r="O267" s="28">
        <v>113912</v>
      </c>
      <c r="P267" s="28">
        <v>1694</v>
      </c>
      <c r="Q267" s="28"/>
      <c r="R267" s="28"/>
      <c r="S267" s="28">
        <v>18</v>
      </c>
    </row>
    <row r="268" spans="1:19">
      <c r="A268" s="27" t="s">
        <v>28</v>
      </c>
      <c r="B268" s="28" t="s">
        <v>21</v>
      </c>
      <c r="C268" s="28" t="s">
        <v>8</v>
      </c>
      <c r="D268" s="28">
        <v>15</v>
      </c>
      <c r="E268" s="28">
        <v>3840</v>
      </c>
      <c r="F268" s="28">
        <v>2160</v>
      </c>
      <c r="G268" s="28">
        <v>252</v>
      </c>
      <c r="H268" s="28">
        <v>0.5</v>
      </c>
      <c r="I268" s="28">
        <f>Table14[[#This Row],[width_scalebar_mm]]/Table14[[#This Row],[width_scalebar_px]]</f>
        <v>1.984126984126984E-3</v>
      </c>
      <c r="J268" s="28">
        <v>0</v>
      </c>
      <c r="K268" s="28">
        <v>1875258</v>
      </c>
      <c r="L268" s="28">
        <v>4880</v>
      </c>
      <c r="M268" s="28">
        <v>609354</v>
      </c>
      <c r="N268" s="28">
        <v>2787</v>
      </c>
      <c r="O268" s="28">
        <v>242701</v>
      </c>
      <c r="P268" s="28">
        <v>2840</v>
      </c>
      <c r="Q268" s="28"/>
      <c r="R268" s="28"/>
      <c r="S268" s="28">
        <v>19</v>
      </c>
    </row>
    <row r="269" spans="1:19">
      <c r="A269" s="19" t="s">
        <v>29</v>
      </c>
      <c r="B269" s="20" t="s">
        <v>21</v>
      </c>
      <c r="C269" s="20" t="s">
        <v>8</v>
      </c>
      <c r="D269" s="20">
        <v>1</v>
      </c>
      <c r="E269" s="20">
        <v>3840</v>
      </c>
      <c r="F269" s="20">
        <v>2160</v>
      </c>
      <c r="G269" s="20">
        <v>213</v>
      </c>
      <c r="H269" s="20">
        <v>0.2</v>
      </c>
      <c r="I269" s="20">
        <f>Table14[[#This Row],[width_scalebar_mm]]/Table14[[#This Row],[width_scalebar_px]]</f>
        <v>9.3896713615023483E-4</v>
      </c>
      <c r="J269" s="20">
        <v>0</v>
      </c>
      <c r="K269" s="20">
        <v>1394265</v>
      </c>
      <c r="L269" s="20">
        <v>4362</v>
      </c>
      <c r="M269" s="20">
        <v>193867</v>
      </c>
      <c r="N269" s="20">
        <v>1598</v>
      </c>
      <c r="O269" s="20">
        <v>21151</v>
      </c>
      <c r="P269" s="20">
        <v>687</v>
      </c>
      <c r="Q269" s="20"/>
      <c r="R269" s="20"/>
      <c r="S269" s="20">
        <v>9</v>
      </c>
    </row>
    <row r="270" spans="1:19">
      <c r="A270" s="19" t="s">
        <v>29</v>
      </c>
      <c r="B270" s="20" t="s">
        <v>21</v>
      </c>
      <c r="C270" s="20" t="s">
        <v>8</v>
      </c>
      <c r="D270" s="20">
        <v>2</v>
      </c>
      <c r="E270" s="20">
        <v>3840</v>
      </c>
      <c r="F270" s="20">
        <v>2160</v>
      </c>
      <c r="G270" s="20">
        <v>213</v>
      </c>
      <c r="H270" s="20">
        <v>0.2</v>
      </c>
      <c r="I270" s="20">
        <f>Table14[[#This Row],[width_scalebar_mm]]/Table14[[#This Row],[width_scalebar_px]]</f>
        <v>9.3896713615023483E-4</v>
      </c>
      <c r="J270" s="20">
        <v>1</v>
      </c>
      <c r="K270" s="20">
        <v>1344483</v>
      </c>
      <c r="L270" s="20">
        <v>4288</v>
      </c>
      <c r="M270" s="20">
        <v>206030</v>
      </c>
      <c r="N270" s="20">
        <v>1650</v>
      </c>
      <c r="O270" s="20">
        <v>21788</v>
      </c>
      <c r="P270" s="20">
        <v>762</v>
      </c>
      <c r="Q270" s="20"/>
      <c r="R270" s="20"/>
      <c r="S270" s="20">
        <v>9</v>
      </c>
    </row>
    <row r="271" spans="1:19">
      <c r="A271" s="19" t="s">
        <v>29</v>
      </c>
      <c r="B271" s="20" t="s">
        <v>21</v>
      </c>
      <c r="C271" s="20" t="s">
        <v>8</v>
      </c>
      <c r="D271" s="20">
        <v>3</v>
      </c>
      <c r="E271" s="20">
        <v>3840</v>
      </c>
      <c r="F271" s="20">
        <v>2160</v>
      </c>
      <c r="G271" s="20">
        <v>213</v>
      </c>
      <c r="H271" s="20">
        <v>0.2</v>
      </c>
      <c r="I271" s="20">
        <f>Table14[[#This Row],[width_scalebar_mm]]/Table14[[#This Row],[width_scalebar_px]]</f>
        <v>9.3896713615023483E-4</v>
      </c>
      <c r="J271" s="20">
        <v>0</v>
      </c>
      <c r="K271" s="20">
        <v>2233800</v>
      </c>
      <c r="L271" s="20">
        <v>5479</v>
      </c>
      <c r="M271" s="20">
        <v>242732</v>
      </c>
      <c r="N271" s="20">
        <v>1786</v>
      </c>
      <c r="O271" s="20">
        <v>25223</v>
      </c>
      <c r="P271" s="20">
        <v>817</v>
      </c>
      <c r="Q271" s="20"/>
      <c r="R271" s="20"/>
      <c r="S271" s="20">
        <v>9</v>
      </c>
    </row>
    <row r="272" spans="1:19">
      <c r="A272" s="19" t="s">
        <v>29</v>
      </c>
      <c r="B272" s="20" t="s">
        <v>21</v>
      </c>
      <c r="C272" s="20" t="s">
        <v>8</v>
      </c>
      <c r="D272" s="20">
        <v>4</v>
      </c>
      <c r="E272" s="20">
        <v>3840</v>
      </c>
      <c r="F272" s="20">
        <v>2160</v>
      </c>
      <c r="G272" s="20">
        <v>213</v>
      </c>
      <c r="H272" s="20">
        <v>0.2</v>
      </c>
      <c r="I272" s="20">
        <f>Table14[[#This Row],[width_scalebar_mm]]/Table14[[#This Row],[width_scalebar_px]]</f>
        <v>9.3896713615023483E-4</v>
      </c>
      <c r="J272" s="20">
        <v>0</v>
      </c>
      <c r="K272" s="20">
        <v>2344023</v>
      </c>
      <c r="L272" s="20">
        <v>5597</v>
      </c>
      <c r="M272" s="20">
        <v>308934</v>
      </c>
      <c r="N272" s="20">
        <v>2032</v>
      </c>
      <c r="O272" s="20">
        <v>32516</v>
      </c>
      <c r="P272" s="20">
        <v>819</v>
      </c>
      <c r="Q272" s="20"/>
      <c r="R272" s="20"/>
      <c r="S272" s="20">
        <v>8</v>
      </c>
    </row>
    <row r="273" spans="1:19">
      <c r="A273" s="19" t="s">
        <v>29</v>
      </c>
      <c r="B273" s="20" t="s">
        <v>21</v>
      </c>
      <c r="C273" s="20" t="s">
        <v>8</v>
      </c>
      <c r="D273" s="20">
        <v>5</v>
      </c>
      <c r="E273" s="20">
        <v>3840</v>
      </c>
      <c r="F273" s="20">
        <v>2160</v>
      </c>
      <c r="G273" s="20">
        <v>213</v>
      </c>
      <c r="H273" s="20">
        <v>0.2</v>
      </c>
      <c r="I273" s="20">
        <f>Table14[[#This Row],[width_scalebar_mm]]/Table14[[#This Row],[width_scalebar_px]]</f>
        <v>9.3896713615023483E-4</v>
      </c>
      <c r="J273" s="20">
        <v>0</v>
      </c>
      <c r="K273" s="20">
        <v>2788044</v>
      </c>
      <c r="L273" s="20">
        <v>6109</v>
      </c>
      <c r="M273" s="20">
        <v>446245</v>
      </c>
      <c r="N273" s="20">
        <v>2403</v>
      </c>
      <c r="O273" s="20">
        <v>50272</v>
      </c>
      <c r="P273" s="20">
        <v>1322</v>
      </c>
      <c r="Q273" s="20"/>
      <c r="R273" s="20"/>
      <c r="S273" s="20">
        <v>12</v>
      </c>
    </row>
    <row r="274" spans="1:19">
      <c r="A274" s="19" t="s">
        <v>29</v>
      </c>
      <c r="B274" s="20" t="s">
        <v>21</v>
      </c>
      <c r="C274" s="20" t="s">
        <v>8</v>
      </c>
      <c r="D274" s="20">
        <v>6</v>
      </c>
      <c r="E274" s="20">
        <v>3840</v>
      </c>
      <c r="F274" s="20">
        <v>2160</v>
      </c>
      <c r="G274" s="20">
        <v>213</v>
      </c>
      <c r="H274" s="20">
        <v>0.2</v>
      </c>
      <c r="I274" s="20">
        <f>Table14[[#This Row],[width_scalebar_mm]]/Table14[[#This Row],[width_scalebar_px]]</f>
        <v>9.3896713615023483E-4</v>
      </c>
      <c r="J274" s="20">
        <v>1</v>
      </c>
      <c r="K274" s="20">
        <v>2103981</v>
      </c>
      <c r="L274" s="20">
        <v>5363</v>
      </c>
      <c r="M274" s="20">
        <v>404856</v>
      </c>
      <c r="N274" s="20">
        <v>2282</v>
      </c>
      <c r="O274" s="20">
        <v>60161</v>
      </c>
      <c r="P274" s="20">
        <v>1568</v>
      </c>
      <c r="Q274" s="20"/>
      <c r="R274" s="20"/>
      <c r="S274" s="20">
        <v>13</v>
      </c>
    </row>
    <row r="275" spans="1:19">
      <c r="A275" s="19" t="s">
        <v>29</v>
      </c>
      <c r="B275" s="20" t="s">
        <v>21</v>
      </c>
      <c r="C275" s="20" t="s">
        <v>8</v>
      </c>
      <c r="D275" s="20">
        <v>7</v>
      </c>
      <c r="E275" s="20">
        <v>3840</v>
      </c>
      <c r="F275" s="20">
        <v>2160</v>
      </c>
      <c r="G275" s="20">
        <v>468</v>
      </c>
      <c r="H275" s="20">
        <v>1</v>
      </c>
      <c r="I275" s="20">
        <f>Table14[[#This Row],[width_scalebar_mm]]/Table14[[#This Row],[width_scalebar_px]]</f>
        <v>2.136752136752137E-3</v>
      </c>
      <c r="J275" s="20">
        <v>2</v>
      </c>
      <c r="K275" s="20">
        <v>610230</v>
      </c>
      <c r="L275" s="20">
        <v>2947</v>
      </c>
      <c r="M275" s="20">
        <v>120679</v>
      </c>
      <c r="N275" s="20">
        <v>1255</v>
      </c>
      <c r="O275" s="20">
        <v>15667</v>
      </c>
      <c r="P275" s="20">
        <v>547</v>
      </c>
      <c r="Q275" s="20"/>
      <c r="R275" s="20"/>
      <c r="S275" s="20">
        <v>14</v>
      </c>
    </row>
    <row r="276" spans="1:19">
      <c r="A276" s="19" t="s">
        <v>29</v>
      </c>
      <c r="B276" s="20" t="s">
        <v>21</v>
      </c>
      <c r="C276" s="20" t="s">
        <v>8</v>
      </c>
      <c r="D276" s="20">
        <v>8</v>
      </c>
      <c r="E276" s="20">
        <v>3840</v>
      </c>
      <c r="F276" s="20">
        <v>2160</v>
      </c>
      <c r="G276" s="20">
        <v>468</v>
      </c>
      <c r="H276" s="20">
        <v>1</v>
      </c>
      <c r="I276" s="20">
        <f>Table14[[#This Row],[width_scalebar_mm]]/Table14[[#This Row],[width_scalebar_px]]</f>
        <v>2.136752136752137E-3</v>
      </c>
      <c r="J276" s="20">
        <v>3</v>
      </c>
      <c r="K276" s="20">
        <v>552423</v>
      </c>
      <c r="L276" s="20">
        <v>2661</v>
      </c>
      <c r="M276" s="20">
        <v>138094</v>
      </c>
      <c r="N276" s="20">
        <v>1329</v>
      </c>
      <c r="O276" s="20">
        <v>21076</v>
      </c>
      <c r="P276" s="20">
        <v>647</v>
      </c>
      <c r="Q276" s="20"/>
      <c r="R276" s="20"/>
      <c r="S276" s="20">
        <v>16</v>
      </c>
    </row>
    <row r="277" spans="1:19">
      <c r="A277" s="19" t="s">
        <v>29</v>
      </c>
      <c r="B277" s="20" t="s">
        <v>21</v>
      </c>
      <c r="C277" s="20" t="s">
        <v>8</v>
      </c>
      <c r="D277" s="20">
        <v>9</v>
      </c>
      <c r="E277" s="20">
        <v>3840</v>
      </c>
      <c r="F277" s="20">
        <v>2160</v>
      </c>
      <c r="G277" s="20">
        <v>468</v>
      </c>
      <c r="H277" s="20">
        <v>1</v>
      </c>
      <c r="I277" s="20">
        <f>Table14[[#This Row],[width_scalebar_mm]]/Table14[[#This Row],[width_scalebar_px]]</f>
        <v>2.136752136752137E-3</v>
      </c>
      <c r="J277" s="20">
        <v>3</v>
      </c>
      <c r="K277" s="20">
        <v>572330</v>
      </c>
      <c r="L277" s="20">
        <v>2699</v>
      </c>
      <c r="M277" s="20">
        <v>139385</v>
      </c>
      <c r="N277" s="20">
        <v>1342</v>
      </c>
      <c r="O277" s="20">
        <v>24047</v>
      </c>
      <c r="P277" s="20">
        <v>684</v>
      </c>
      <c r="Q277" s="20"/>
      <c r="R277" s="20"/>
      <c r="S277" s="20">
        <v>16</v>
      </c>
    </row>
    <row r="278" spans="1:19">
      <c r="A278" s="19" t="s">
        <v>29</v>
      </c>
      <c r="B278" s="20" t="s">
        <v>21</v>
      </c>
      <c r="C278" s="20" t="s">
        <v>8</v>
      </c>
      <c r="D278" s="20">
        <v>10</v>
      </c>
      <c r="E278" s="20">
        <v>3840</v>
      </c>
      <c r="F278" s="20">
        <v>2160</v>
      </c>
      <c r="G278" s="20">
        <v>468</v>
      </c>
      <c r="H278" s="20">
        <v>1</v>
      </c>
      <c r="I278" s="20">
        <f>Table14[[#This Row],[width_scalebar_mm]]/Table14[[#This Row],[width_scalebar_px]]</f>
        <v>2.136752136752137E-3</v>
      </c>
      <c r="J278" s="20">
        <v>3</v>
      </c>
      <c r="K278" s="20">
        <v>621245</v>
      </c>
      <c r="L278" s="20">
        <v>2821</v>
      </c>
      <c r="M278" s="20">
        <v>158871</v>
      </c>
      <c r="N278" s="20">
        <v>1423</v>
      </c>
      <c r="O278" s="20">
        <v>28071</v>
      </c>
      <c r="P278" s="20">
        <v>713</v>
      </c>
      <c r="Q278" s="20"/>
      <c r="R278" s="20"/>
      <c r="S278" s="20">
        <v>16</v>
      </c>
    </row>
    <row r="279" spans="1:19">
      <c r="A279" s="19" t="s">
        <v>29</v>
      </c>
      <c r="B279" s="20" t="s">
        <v>21</v>
      </c>
      <c r="C279" s="20" t="s">
        <v>8</v>
      </c>
      <c r="D279" s="20">
        <v>11</v>
      </c>
      <c r="E279" s="20">
        <v>3840</v>
      </c>
      <c r="F279" s="20">
        <v>2160</v>
      </c>
      <c r="G279" s="20">
        <v>468</v>
      </c>
      <c r="H279" s="20">
        <v>1</v>
      </c>
      <c r="I279" s="20">
        <f>Table14[[#This Row],[width_scalebar_mm]]/Table14[[#This Row],[width_scalebar_px]]</f>
        <v>2.136752136752137E-3</v>
      </c>
      <c r="J279" s="20">
        <v>3</v>
      </c>
      <c r="K279" s="20">
        <v>658631</v>
      </c>
      <c r="L279" s="20">
        <v>2902</v>
      </c>
      <c r="M279" s="20">
        <v>174794</v>
      </c>
      <c r="N279" s="20">
        <v>1489</v>
      </c>
      <c r="O279" s="20">
        <v>29399</v>
      </c>
      <c r="P279" s="20">
        <v>855</v>
      </c>
      <c r="Q279" s="20"/>
      <c r="R279" s="20"/>
      <c r="S279" s="20">
        <v>16</v>
      </c>
    </row>
    <row r="280" spans="1:19">
      <c r="A280" s="19" t="s">
        <v>29</v>
      </c>
      <c r="B280" s="20" t="s">
        <v>21</v>
      </c>
      <c r="C280" s="20" t="s">
        <v>8</v>
      </c>
      <c r="D280" s="20">
        <v>12</v>
      </c>
      <c r="E280" s="20">
        <v>3840</v>
      </c>
      <c r="F280" s="20">
        <v>2160</v>
      </c>
      <c r="G280" s="20">
        <v>468</v>
      </c>
      <c r="H280" s="20">
        <v>1</v>
      </c>
      <c r="I280" s="20">
        <f>Table14[[#This Row],[width_scalebar_mm]]/Table14[[#This Row],[width_scalebar_px]]</f>
        <v>2.136752136752137E-3</v>
      </c>
      <c r="J280" s="20">
        <v>3</v>
      </c>
      <c r="K280" s="20">
        <v>673672</v>
      </c>
      <c r="L280" s="20">
        <v>2933</v>
      </c>
      <c r="M280" s="20">
        <v>178368</v>
      </c>
      <c r="N280" s="20">
        <v>1507</v>
      </c>
      <c r="O280" s="20">
        <v>34640</v>
      </c>
      <c r="P280" s="20">
        <v>937</v>
      </c>
      <c r="Q280" s="20"/>
      <c r="R280" s="20"/>
      <c r="S280" s="20">
        <v>16</v>
      </c>
    </row>
    <row r="281" spans="1:19">
      <c r="A281" s="19" t="s">
        <v>29</v>
      </c>
      <c r="B281" s="20" t="s">
        <v>21</v>
      </c>
      <c r="C281" s="20" t="s">
        <v>8</v>
      </c>
      <c r="D281" s="20">
        <v>13</v>
      </c>
      <c r="E281" s="20">
        <v>3840</v>
      </c>
      <c r="F281" s="20">
        <v>2160</v>
      </c>
      <c r="G281" s="20">
        <v>468</v>
      </c>
      <c r="H281" s="20">
        <v>1</v>
      </c>
      <c r="I281" s="20">
        <f>Table14[[#This Row],[width_scalebar_mm]]/Table14[[#This Row],[width_scalebar_px]]</f>
        <v>2.136752136752137E-3</v>
      </c>
      <c r="J281" s="20">
        <v>2</v>
      </c>
      <c r="K281" s="20">
        <v>729222</v>
      </c>
      <c r="L281" s="20">
        <v>3043</v>
      </c>
      <c r="M281" s="20">
        <v>195043</v>
      </c>
      <c r="N281" s="20">
        <v>1573</v>
      </c>
      <c r="O281" s="20">
        <v>41951</v>
      </c>
      <c r="P281" s="20">
        <v>970</v>
      </c>
      <c r="Q281" s="20"/>
      <c r="R281" s="20"/>
      <c r="S281" s="20">
        <v>16</v>
      </c>
    </row>
    <row r="282" spans="1:19">
      <c r="A282" s="19" t="s">
        <v>29</v>
      </c>
      <c r="B282" s="20" t="s">
        <v>21</v>
      </c>
      <c r="C282" s="20" t="s">
        <v>8</v>
      </c>
      <c r="D282" s="20">
        <v>14</v>
      </c>
      <c r="E282" s="20">
        <v>3840</v>
      </c>
      <c r="F282" s="20">
        <v>2160</v>
      </c>
      <c r="G282" s="20">
        <v>468</v>
      </c>
      <c r="H282" s="20">
        <v>1</v>
      </c>
      <c r="I282" s="20">
        <f>Table14[[#This Row],[width_scalebar_mm]]/Table14[[#This Row],[width_scalebar_px]]</f>
        <v>2.136752136752137E-3</v>
      </c>
      <c r="J282" s="20">
        <v>2</v>
      </c>
      <c r="K282" s="20">
        <v>859356</v>
      </c>
      <c r="L282" s="20">
        <v>3305</v>
      </c>
      <c r="M282" s="20">
        <v>228862</v>
      </c>
      <c r="N282" s="20">
        <v>1706</v>
      </c>
      <c r="O282" s="20">
        <v>51528</v>
      </c>
      <c r="P282" s="20">
        <v>1109</v>
      </c>
      <c r="Q282" s="20"/>
      <c r="R282" s="20"/>
      <c r="S282" s="20">
        <v>17</v>
      </c>
    </row>
    <row r="283" spans="1:19">
      <c r="A283" s="19" t="s">
        <v>29</v>
      </c>
      <c r="B283" s="20" t="s">
        <v>21</v>
      </c>
      <c r="C283" s="20" t="s">
        <v>8</v>
      </c>
      <c r="D283" s="20">
        <v>15</v>
      </c>
      <c r="E283" s="20">
        <v>3840</v>
      </c>
      <c r="F283" s="20">
        <v>2160</v>
      </c>
      <c r="G283" s="20">
        <v>468</v>
      </c>
      <c r="H283" s="20">
        <v>1</v>
      </c>
      <c r="I283" s="20">
        <f>Table14[[#This Row],[width_scalebar_mm]]/Table14[[#This Row],[width_scalebar_px]]</f>
        <v>2.136752136752137E-3</v>
      </c>
      <c r="J283" s="20">
        <v>2</v>
      </c>
      <c r="K283" s="20">
        <v>952868</v>
      </c>
      <c r="L283" s="20">
        <v>3476</v>
      </c>
      <c r="M283" s="20">
        <v>263561</v>
      </c>
      <c r="N283" s="20">
        <v>1829</v>
      </c>
      <c r="O283" s="20">
        <v>54357</v>
      </c>
      <c r="P283" s="20">
        <v>1077</v>
      </c>
      <c r="Q283" s="20"/>
      <c r="R283" s="20"/>
      <c r="S283" s="20">
        <v>18</v>
      </c>
    </row>
    <row r="284" spans="1:19">
      <c r="A284" s="19" t="s">
        <v>29</v>
      </c>
      <c r="B284" s="20" t="s">
        <v>21</v>
      </c>
      <c r="C284" s="20" t="s">
        <v>8</v>
      </c>
      <c r="D284" s="20">
        <v>16</v>
      </c>
      <c r="E284" s="20">
        <v>3840</v>
      </c>
      <c r="F284" s="20">
        <v>2160</v>
      </c>
      <c r="G284" s="20">
        <v>468</v>
      </c>
      <c r="H284" s="20">
        <v>1</v>
      </c>
      <c r="I284" s="20">
        <f>Table14[[#This Row],[width_scalebar_mm]]/Table14[[#This Row],[width_scalebar_px]]</f>
        <v>2.136752136752137E-3</v>
      </c>
      <c r="J284" s="20">
        <v>2</v>
      </c>
      <c r="K284" s="20">
        <v>1003959</v>
      </c>
      <c r="L284" s="20">
        <v>3569</v>
      </c>
      <c r="M284" s="20">
        <v>300692</v>
      </c>
      <c r="N284" s="20">
        <v>1958</v>
      </c>
      <c r="O284" s="20">
        <v>80935</v>
      </c>
      <c r="P284" s="20">
        <v>1345</v>
      </c>
      <c r="Q284" s="20"/>
      <c r="R284" s="20"/>
      <c r="S284" s="20">
        <v>19</v>
      </c>
    </row>
    <row r="285" spans="1:19">
      <c r="A285" s="19" t="s">
        <v>29</v>
      </c>
      <c r="B285" s="20" t="s">
        <v>21</v>
      </c>
      <c r="C285" s="20" t="s">
        <v>8</v>
      </c>
      <c r="D285" s="20">
        <v>17</v>
      </c>
      <c r="E285" s="20">
        <v>3840</v>
      </c>
      <c r="F285" s="20">
        <v>2160</v>
      </c>
      <c r="G285" s="20">
        <v>468</v>
      </c>
      <c r="H285" s="20">
        <v>1</v>
      </c>
      <c r="I285" s="20">
        <f>Table14[[#This Row],[width_scalebar_mm]]/Table14[[#This Row],[width_scalebar_px]]</f>
        <v>2.136752136752137E-3</v>
      </c>
      <c r="J285" s="20">
        <v>0</v>
      </c>
      <c r="K285" s="20">
        <v>1266923</v>
      </c>
      <c r="L285" s="20">
        <v>4010</v>
      </c>
      <c r="M285" s="20">
        <v>384259</v>
      </c>
      <c r="N285" s="20">
        <v>2212</v>
      </c>
      <c r="O285" s="20">
        <v>138396</v>
      </c>
      <c r="P285" s="20">
        <v>2075</v>
      </c>
      <c r="Q285" s="20"/>
      <c r="R285" s="20"/>
      <c r="S285" s="20">
        <v>20</v>
      </c>
    </row>
    <row r="286" spans="1:19">
      <c r="A286" s="27" t="s">
        <v>30</v>
      </c>
      <c r="B286" s="28" t="s">
        <v>21</v>
      </c>
      <c r="C286" s="28" t="s">
        <v>8</v>
      </c>
      <c r="D286" s="28">
        <v>1</v>
      </c>
      <c r="E286" s="28">
        <v>3840</v>
      </c>
      <c r="F286" s="28">
        <v>2160</v>
      </c>
      <c r="G286" s="28">
        <v>427</v>
      </c>
      <c r="H286" s="28">
        <v>0.5</v>
      </c>
      <c r="I286" s="28">
        <f>Table14[[#This Row],[width_scalebar_mm]]/Table14[[#This Row],[width_scalebar_px]]</f>
        <v>1.17096018735363E-3</v>
      </c>
      <c r="J286" s="28">
        <v>0</v>
      </c>
      <c r="K286" s="28">
        <v>2244279</v>
      </c>
      <c r="L286" s="28">
        <v>5524</v>
      </c>
      <c r="M286" s="28">
        <v>410748</v>
      </c>
      <c r="N286" s="28">
        <v>2313</v>
      </c>
      <c r="O286" s="28">
        <v>87169</v>
      </c>
      <c r="P286" s="28">
        <v>1409</v>
      </c>
      <c r="Q286" s="28"/>
      <c r="R286" s="28"/>
      <c r="S286" s="28">
        <v>16</v>
      </c>
    </row>
    <row r="287" spans="1:19">
      <c r="A287" s="27" t="s">
        <v>30</v>
      </c>
      <c r="B287" s="28" t="s">
        <v>21</v>
      </c>
      <c r="C287" s="28" t="s">
        <v>8</v>
      </c>
      <c r="D287" s="28">
        <v>2</v>
      </c>
      <c r="E287" s="28">
        <v>3840</v>
      </c>
      <c r="F287" s="28">
        <v>2160</v>
      </c>
      <c r="G287" s="28">
        <v>426</v>
      </c>
      <c r="H287" s="28">
        <v>0.5</v>
      </c>
      <c r="I287" s="28">
        <f>Table14[[#This Row],[width_scalebar_mm]]/Table14[[#This Row],[width_scalebar_px]]</f>
        <v>1.1737089201877935E-3</v>
      </c>
      <c r="J287" s="28">
        <v>1</v>
      </c>
      <c r="K287" s="28">
        <v>1986768</v>
      </c>
      <c r="L287" s="28">
        <v>5081</v>
      </c>
      <c r="M287" s="28">
        <v>521650</v>
      </c>
      <c r="N287" s="28">
        <v>2602</v>
      </c>
      <c r="O287" s="28">
        <v>124663</v>
      </c>
      <c r="P287" s="28">
        <v>1830</v>
      </c>
      <c r="Q287" s="28"/>
      <c r="R287" s="28"/>
      <c r="S287" s="28">
        <v>17</v>
      </c>
    </row>
    <row r="288" spans="1:19">
      <c r="A288" s="27" t="s">
        <v>30</v>
      </c>
      <c r="B288" s="28" t="s">
        <v>21</v>
      </c>
      <c r="C288" s="28" t="s">
        <v>8</v>
      </c>
      <c r="D288" s="28">
        <v>3</v>
      </c>
      <c r="E288" s="28">
        <v>3840</v>
      </c>
      <c r="F288" s="28">
        <v>2160</v>
      </c>
      <c r="G288" s="28">
        <v>426</v>
      </c>
      <c r="H288" s="28">
        <v>0.5</v>
      </c>
      <c r="I288" s="28">
        <f>Table14[[#This Row],[width_scalebar_mm]]/Table14[[#This Row],[width_scalebar_px]]</f>
        <v>1.1737089201877935E-3</v>
      </c>
      <c r="J288" s="28">
        <v>3</v>
      </c>
      <c r="K288" s="28">
        <v>2604726</v>
      </c>
      <c r="L288" s="28">
        <v>5831</v>
      </c>
      <c r="M288" s="28">
        <v>668818</v>
      </c>
      <c r="N288" s="28">
        <v>2935</v>
      </c>
      <c r="O288" s="28">
        <v>190470</v>
      </c>
      <c r="P288" s="28">
        <v>2467</v>
      </c>
      <c r="Q288" s="28"/>
      <c r="R288" s="28"/>
      <c r="S288" s="28">
        <v>17</v>
      </c>
    </row>
    <row r="289" spans="1:19">
      <c r="A289" s="27" t="s">
        <v>30</v>
      </c>
      <c r="B289" s="28" t="s">
        <v>21</v>
      </c>
      <c r="C289" s="28" t="s">
        <v>8</v>
      </c>
      <c r="D289" s="28">
        <v>4</v>
      </c>
      <c r="E289" s="28">
        <v>3840</v>
      </c>
      <c r="F289" s="28">
        <v>2160</v>
      </c>
      <c r="G289" s="28">
        <v>283</v>
      </c>
      <c r="H289" s="28">
        <v>0.5</v>
      </c>
      <c r="I289" s="28">
        <f>Table14[[#This Row],[width_scalebar_mm]]/Table14[[#This Row],[width_scalebar_px]]</f>
        <v>1.7667844522968198E-3</v>
      </c>
      <c r="J289" s="28">
        <v>0</v>
      </c>
      <c r="K289" s="28">
        <v>1899105</v>
      </c>
      <c r="L289" s="28">
        <v>5040</v>
      </c>
      <c r="M289" s="28">
        <v>602284</v>
      </c>
      <c r="N289" s="28">
        <v>2792</v>
      </c>
      <c r="O289" s="28">
        <v>232830</v>
      </c>
      <c r="P289" s="28">
        <v>2679</v>
      </c>
      <c r="Q289" s="28"/>
      <c r="R289" s="28"/>
      <c r="S289" s="28">
        <v>23</v>
      </c>
    </row>
    <row r="290" spans="1:19">
      <c r="A290" s="27" t="s">
        <v>30</v>
      </c>
      <c r="B290" s="28" t="s">
        <v>21</v>
      </c>
      <c r="C290" s="28" t="s">
        <v>8</v>
      </c>
      <c r="D290" s="28">
        <v>5</v>
      </c>
      <c r="E290" s="28">
        <v>3840</v>
      </c>
      <c r="F290" s="28">
        <v>2160</v>
      </c>
      <c r="G290" s="28">
        <v>261</v>
      </c>
      <c r="H290" s="28">
        <v>0.5</v>
      </c>
      <c r="I290" s="28">
        <f>Table14[[#This Row],[width_scalebar_mm]]/Table14[[#This Row],[width_scalebar_px]]</f>
        <v>1.9157088122605363E-3</v>
      </c>
      <c r="J290" s="28">
        <v>0</v>
      </c>
      <c r="K290" s="28">
        <v>2928129</v>
      </c>
      <c r="L290" s="28">
        <v>6108</v>
      </c>
      <c r="M290" s="28">
        <v>1075014</v>
      </c>
      <c r="N290" s="28">
        <v>3715</v>
      </c>
      <c r="O290" s="28">
        <v>589538</v>
      </c>
      <c r="P290" s="28">
        <v>5119</v>
      </c>
      <c r="Q290" s="28"/>
      <c r="R290" s="28"/>
      <c r="S290" s="28">
        <v>25</v>
      </c>
    </row>
    <row r="291" spans="1:19">
      <c r="A291" s="19" t="s">
        <v>31</v>
      </c>
      <c r="B291" s="20" t="s">
        <v>21</v>
      </c>
      <c r="C291" s="20" t="s">
        <v>5</v>
      </c>
      <c r="D291" s="20">
        <v>1</v>
      </c>
      <c r="E291" s="20">
        <v>3840</v>
      </c>
      <c r="F291" s="20">
        <v>2160</v>
      </c>
      <c r="G291" s="20">
        <v>434</v>
      </c>
      <c r="H291" s="20">
        <v>0.5</v>
      </c>
      <c r="I291" s="20">
        <f>Table14[[#This Row],[width_scalebar_mm]]/Table14[[#This Row],[width_scalebar_px]]</f>
        <v>1.152073732718894E-3</v>
      </c>
      <c r="J291" s="20">
        <v>4</v>
      </c>
      <c r="K291" s="20">
        <v>1273362</v>
      </c>
      <c r="L291" s="20">
        <v>4120</v>
      </c>
      <c r="M291" s="20">
        <v>264459</v>
      </c>
      <c r="N291" s="20">
        <v>1851</v>
      </c>
      <c r="O291" s="20">
        <v>28380</v>
      </c>
      <c r="P291" s="20">
        <v>947</v>
      </c>
      <c r="Q291" s="20"/>
      <c r="R291" s="20"/>
      <c r="S291" s="20" t="s">
        <v>287</v>
      </c>
    </row>
    <row r="292" spans="1:19">
      <c r="A292" s="19" t="s">
        <v>31</v>
      </c>
      <c r="B292" s="20" t="s">
        <v>21</v>
      </c>
      <c r="C292" s="20" t="s">
        <v>5</v>
      </c>
      <c r="D292" s="20">
        <v>2</v>
      </c>
      <c r="E292" s="20">
        <v>3840</v>
      </c>
      <c r="F292" s="20">
        <v>2160</v>
      </c>
      <c r="G292" s="20">
        <v>436</v>
      </c>
      <c r="H292" s="20">
        <v>0.5</v>
      </c>
      <c r="I292" s="20">
        <f>Table14[[#This Row],[width_scalebar_mm]]/Table14[[#This Row],[width_scalebar_px]]</f>
        <v>1.1467889908256881E-3</v>
      </c>
      <c r="J292" s="20">
        <v>0</v>
      </c>
      <c r="K292" s="20">
        <v>1338711</v>
      </c>
      <c r="L292" s="20">
        <v>4129</v>
      </c>
      <c r="M292" s="20">
        <v>252515</v>
      </c>
      <c r="N292" s="20">
        <v>1800</v>
      </c>
      <c r="O292" s="20">
        <v>37184</v>
      </c>
      <c r="P292" s="20">
        <v>1055</v>
      </c>
      <c r="Q292" s="20"/>
      <c r="R292" s="20"/>
      <c r="S292" s="20">
        <v>13</v>
      </c>
    </row>
    <row r="293" spans="1:19">
      <c r="A293" s="19" t="s">
        <v>31</v>
      </c>
      <c r="B293" s="20" t="s">
        <v>21</v>
      </c>
      <c r="C293" s="20" t="s">
        <v>5</v>
      </c>
      <c r="D293" s="20">
        <v>3</v>
      </c>
      <c r="E293" s="20">
        <v>3840</v>
      </c>
      <c r="F293" s="20">
        <v>2160</v>
      </c>
      <c r="G293" s="20">
        <v>436</v>
      </c>
      <c r="H293" s="20">
        <v>0.5</v>
      </c>
      <c r="I293" s="20">
        <f>Table14[[#This Row],[width_scalebar_mm]]/Table14[[#This Row],[width_scalebar_px]]</f>
        <v>1.1467889908256881E-3</v>
      </c>
      <c r="J293" s="20">
        <v>1</v>
      </c>
      <c r="K293" s="20">
        <v>1437198</v>
      </c>
      <c r="L293" s="20">
        <v>4274</v>
      </c>
      <c r="M293" s="20">
        <v>304266</v>
      </c>
      <c r="N293" s="20">
        <v>1978</v>
      </c>
      <c r="O293" s="20">
        <v>50551</v>
      </c>
      <c r="P293" s="20">
        <v>1292</v>
      </c>
      <c r="Q293" s="20"/>
      <c r="R293" s="20"/>
      <c r="S293" s="20">
        <v>15</v>
      </c>
    </row>
    <row r="294" spans="1:19">
      <c r="A294" s="19" t="s">
        <v>31</v>
      </c>
      <c r="B294" s="20" t="s">
        <v>21</v>
      </c>
      <c r="C294" s="20" t="s">
        <v>5</v>
      </c>
      <c r="D294" s="20">
        <v>4</v>
      </c>
      <c r="E294" s="20">
        <v>3840</v>
      </c>
      <c r="F294" s="20">
        <v>2160</v>
      </c>
      <c r="G294" s="20">
        <v>436</v>
      </c>
      <c r="H294" s="20">
        <v>0.5</v>
      </c>
      <c r="I294" s="20">
        <f>Table14[[#This Row],[width_scalebar_mm]]/Table14[[#This Row],[width_scalebar_px]]</f>
        <v>1.1467889908256881E-3</v>
      </c>
      <c r="J294" s="20">
        <v>2</v>
      </c>
      <c r="K294" s="20">
        <v>1592145</v>
      </c>
      <c r="L294" s="20">
        <v>4571</v>
      </c>
      <c r="M294" s="20">
        <v>356447</v>
      </c>
      <c r="N294" s="20">
        <v>2138</v>
      </c>
      <c r="O294" s="20">
        <v>55518</v>
      </c>
      <c r="P294" s="20">
        <v>1229</v>
      </c>
      <c r="Q294" s="20"/>
      <c r="R294" s="20"/>
      <c r="S294" s="20">
        <v>15</v>
      </c>
    </row>
    <row r="295" spans="1:19">
      <c r="A295" s="19" t="s">
        <v>31</v>
      </c>
      <c r="B295" s="20" t="s">
        <v>21</v>
      </c>
      <c r="C295" s="20" t="s">
        <v>5</v>
      </c>
      <c r="D295" s="20">
        <v>5</v>
      </c>
      <c r="E295" s="20">
        <v>3840</v>
      </c>
      <c r="F295" s="20">
        <v>2160</v>
      </c>
      <c r="G295" s="20">
        <v>436</v>
      </c>
      <c r="H295" s="20">
        <v>0.5</v>
      </c>
      <c r="I295" s="20">
        <f>Table14[[#This Row],[width_scalebar_mm]]/Table14[[#This Row],[width_scalebar_px]]</f>
        <v>1.1467889908256881E-3</v>
      </c>
      <c r="J295" s="20">
        <v>2</v>
      </c>
      <c r="K295" s="20">
        <v>1698642</v>
      </c>
      <c r="L295" s="20">
        <v>4648</v>
      </c>
      <c r="M295" s="20">
        <v>409883</v>
      </c>
      <c r="N295" s="20">
        <v>2284</v>
      </c>
      <c r="O295" s="20">
        <v>78104</v>
      </c>
      <c r="P295" s="20">
        <v>1980</v>
      </c>
      <c r="Q295" s="20"/>
      <c r="R295" s="20"/>
      <c r="S295" s="20">
        <v>15</v>
      </c>
    </row>
    <row r="296" spans="1:19">
      <c r="A296" s="19" t="s">
        <v>31</v>
      </c>
      <c r="B296" s="20" t="s">
        <v>21</v>
      </c>
      <c r="C296" s="20" t="s">
        <v>5</v>
      </c>
      <c r="D296" s="20">
        <v>6</v>
      </c>
      <c r="E296" s="20">
        <v>3840</v>
      </c>
      <c r="F296" s="20">
        <v>2160</v>
      </c>
      <c r="G296" s="20">
        <v>436</v>
      </c>
      <c r="H296" s="20">
        <v>0.5</v>
      </c>
      <c r="I296" s="20">
        <f>Table14[[#This Row],[width_scalebar_mm]]/Table14[[#This Row],[width_scalebar_px]]</f>
        <v>1.1467889908256881E-3</v>
      </c>
      <c r="J296" s="20">
        <v>1</v>
      </c>
      <c r="K296" s="20">
        <v>1911123</v>
      </c>
      <c r="L296" s="20">
        <v>4926</v>
      </c>
      <c r="M296" s="20">
        <v>495689</v>
      </c>
      <c r="N296" s="20">
        <v>2514</v>
      </c>
      <c r="O296" s="20">
        <v>90660</v>
      </c>
      <c r="P296" s="20">
        <v>1717</v>
      </c>
      <c r="Q296" s="20"/>
      <c r="R296" s="20"/>
      <c r="S296" s="20">
        <v>16</v>
      </c>
    </row>
    <row r="297" spans="1:19">
      <c r="A297" s="19" t="s">
        <v>31</v>
      </c>
      <c r="B297" s="20" t="s">
        <v>21</v>
      </c>
      <c r="C297" s="20" t="s">
        <v>5</v>
      </c>
      <c r="D297" s="20">
        <v>7</v>
      </c>
      <c r="E297" s="20">
        <v>3840</v>
      </c>
      <c r="F297" s="20">
        <v>2160</v>
      </c>
      <c r="G297" s="20">
        <v>436</v>
      </c>
      <c r="H297" s="20">
        <v>0.5</v>
      </c>
      <c r="I297" s="20">
        <f>Table14[[#This Row],[width_scalebar_mm]]/Table14[[#This Row],[width_scalebar_px]]</f>
        <v>1.1467889908256881E-3</v>
      </c>
      <c r="J297" s="20">
        <v>2</v>
      </c>
      <c r="K297" s="20">
        <v>2253648</v>
      </c>
      <c r="L297" s="20">
        <v>5346</v>
      </c>
      <c r="M297" s="20">
        <v>562979</v>
      </c>
      <c r="N297" s="20">
        <v>2673</v>
      </c>
      <c r="O297" s="20">
        <v>131100</v>
      </c>
      <c r="P297" s="20">
        <v>2510</v>
      </c>
      <c r="Q297" s="20"/>
      <c r="R297" s="20"/>
      <c r="S297" s="20">
        <v>16</v>
      </c>
    </row>
    <row r="298" spans="1:19">
      <c r="A298" s="19" t="s">
        <v>31</v>
      </c>
      <c r="B298" s="20" t="s">
        <v>21</v>
      </c>
      <c r="C298" s="20" t="s">
        <v>5</v>
      </c>
      <c r="D298" s="20">
        <v>8</v>
      </c>
      <c r="E298" s="20">
        <v>3840</v>
      </c>
      <c r="F298" s="20">
        <v>2160</v>
      </c>
      <c r="G298" s="20">
        <v>436</v>
      </c>
      <c r="H298" s="20">
        <v>0.5</v>
      </c>
      <c r="I298" s="20">
        <f>Table14[[#This Row],[width_scalebar_mm]]/Table14[[#This Row],[width_scalebar_px]]</f>
        <v>1.1467889908256881E-3</v>
      </c>
      <c r="J298" s="20">
        <v>2</v>
      </c>
      <c r="K298" s="20">
        <v>2745756</v>
      </c>
      <c r="L298" s="20">
        <v>5912</v>
      </c>
      <c r="M298" s="20">
        <v>697442</v>
      </c>
      <c r="N298" s="20">
        <v>2981</v>
      </c>
      <c r="O298" s="20">
        <v>154251</v>
      </c>
      <c r="P298" s="20">
        <v>2028</v>
      </c>
      <c r="Q298" s="20"/>
      <c r="R298" s="20"/>
      <c r="S298" s="20">
        <v>16</v>
      </c>
    </row>
    <row r="299" spans="1:19">
      <c r="A299" s="19" t="s">
        <v>31</v>
      </c>
      <c r="B299" s="20" t="s">
        <v>21</v>
      </c>
      <c r="C299" s="20" t="s">
        <v>5</v>
      </c>
      <c r="D299" s="20">
        <v>9</v>
      </c>
      <c r="E299" s="20">
        <v>3840</v>
      </c>
      <c r="F299" s="20">
        <v>2160</v>
      </c>
      <c r="G299" s="20">
        <v>436</v>
      </c>
      <c r="H299" s="20">
        <v>0.5</v>
      </c>
      <c r="I299" s="20">
        <f>Table14[[#This Row],[width_scalebar_mm]]/Table14[[#This Row],[width_scalebar_px]]</f>
        <v>1.1467889908256881E-3</v>
      </c>
      <c r="J299" s="20">
        <v>3</v>
      </c>
      <c r="K299" s="20">
        <v>3080523</v>
      </c>
      <c r="L299" s="20">
        <v>6252</v>
      </c>
      <c r="M299" s="20">
        <v>815894</v>
      </c>
      <c r="N299" s="20">
        <v>3224</v>
      </c>
      <c r="O299" s="20">
        <v>198823</v>
      </c>
      <c r="P299" s="20">
        <v>2326</v>
      </c>
      <c r="Q299" s="20"/>
      <c r="R299" s="20"/>
      <c r="S299" s="20">
        <v>17</v>
      </c>
    </row>
    <row r="300" spans="1:19">
      <c r="A300" s="19" t="s">
        <v>31</v>
      </c>
      <c r="B300" s="20" t="s">
        <v>21</v>
      </c>
      <c r="C300" s="20" t="s">
        <v>5</v>
      </c>
      <c r="D300" s="20">
        <v>10</v>
      </c>
      <c r="E300" s="20">
        <v>3840</v>
      </c>
      <c r="F300" s="20">
        <v>2160</v>
      </c>
      <c r="G300" s="20">
        <v>282</v>
      </c>
      <c r="H300" s="20">
        <v>0.5</v>
      </c>
      <c r="I300" s="20">
        <f>Table14[[#This Row],[width_scalebar_mm]]/Table14[[#This Row],[width_scalebar_px]]</f>
        <v>1.7730496453900709E-3</v>
      </c>
      <c r="J300" s="20">
        <v>4</v>
      </c>
      <c r="K300" s="20">
        <v>1292121</v>
      </c>
      <c r="L300" s="20">
        <v>4069</v>
      </c>
      <c r="M300" s="20">
        <v>390862</v>
      </c>
      <c r="N300" s="20">
        <v>2235</v>
      </c>
      <c r="O300" s="20">
        <v>112547</v>
      </c>
      <c r="P300" s="20">
        <v>1636</v>
      </c>
      <c r="Q300" s="20"/>
      <c r="R300" s="20"/>
      <c r="S300" s="20">
        <v>17</v>
      </c>
    </row>
    <row r="301" spans="1:19">
      <c r="A301" s="19" t="s">
        <v>31</v>
      </c>
      <c r="B301" s="20" t="s">
        <v>21</v>
      </c>
      <c r="C301" s="20" t="s">
        <v>5</v>
      </c>
      <c r="D301" s="20">
        <v>11</v>
      </c>
      <c r="E301" s="20">
        <v>3840</v>
      </c>
      <c r="F301" s="20">
        <v>2160</v>
      </c>
      <c r="G301" s="20">
        <v>282</v>
      </c>
      <c r="H301" s="20">
        <v>0.5</v>
      </c>
      <c r="I301" s="20">
        <f>Table14[[#This Row],[width_scalebar_mm]]/Table14[[#This Row],[width_scalebar_px]]</f>
        <v>1.7730496453900709E-3</v>
      </c>
      <c r="J301" s="20">
        <v>4</v>
      </c>
      <c r="K301" s="20">
        <v>2586399</v>
      </c>
      <c r="L301" s="20">
        <v>5725</v>
      </c>
      <c r="M301" s="20">
        <v>767403</v>
      </c>
      <c r="N301" s="20">
        <v>3130</v>
      </c>
      <c r="O301" s="20">
        <v>327962</v>
      </c>
      <c r="P301" s="20">
        <v>3640</v>
      </c>
      <c r="Q301" s="20"/>
      <c r="R301" s="20"/>
      <c r="S301" s="20">
        <v>19</v>
      </c>
    </row>
    <row r="302" spans="1:19">
      <c r="A302" s="27" t="s">
        <v>32</v>
      </c>
      <c r="B302" s="28" t="s">
        <v>21</v>
      </c>
      <c r="C302" s="28" t="s">
        <v>8</v>
      </c>
      <c r="D302" s="28">
        <v>1</v>
      </c>
      <c r="E302" s="28">
        <v>3840</v>
      </c>
      <c r="F302" s="28">
        <v>2160</v>
      </c>
      <c r="G302" s="28">
        <v>433</v>
      </c>
      <c r="H302" s="28">
        <v>0.5</v>
      </c>
      <c r="I302" s="28">
        <f>Table14[[#This Row],[width_scalebar_mm]]/Table14[[#This Row],[width_scalebar_px]]</f>
        <v>1.1547344110854503E-3</v>
      </c>
      <c r="J302" s="28">
        <v>1</v>
      </c>
      <c r="K302" s="28">
        <v>1615866</v>
      </c>
      <c r="L302" s="28">
        <v>4545</v>
      </c>
      <c r="M302" s="28">
        <v>213110</v>
      </c>
      <c r="N302" s="28">
        <v>1652</v>
      </c>
      <c r="O302" s="28">
        <v>19308</v>
      </c>
      <c r="P302" s="28">
        <v>695</v>
      </c>
      <c r="Q302" s="28"/>
      <c r="R302" s="28"/>
      <c r="S302" s="28">
        <v>11</v>
      </c>
    </row>
    <row r="303" spans="1:19">
      <c r="A303" s="27" t="s">
        <v>32</v>
      </c>
      <c r="B303" s="28" t="s">
        <v>21</v>
      </c>
      <c r="C303" s="28" t="s">
        <v>8</v>
      </c>
      <c r="D303" s="28">
        <v>2</v>
      </c>
      <c r="E303" s="28">
        <v>3840</v>
      </c>
      <c r="F303" s="28">
        <v>2160</v>
      </c>
      <c r="G303" s="28">
        <v>433</v>
      </c>
      <c r="H303" s="28">
        <v>0.5</v>
      </c>
      <c r="I303" s="28">
        <f>Table14[[#This Row],[width_scalebar_mm]]/Table14[[#This Row],[width_scalebar_px]]</f>
        <v>1.1547344110854503E-3</v>
      </c>
      <c r="J303" s="28">
        <v>0</v>
      </c>
      <c r="K303" s="28">
        <v>1500786</v>
      </c>
      <c r="L303" s="28">
        <v>4378</v>
      </c>
      <c r="M303" s="28">
        <v>211113</v>
      </c>
      <c r="N303" s="28">
        <v>1646</v>
      </c>
      <c r="O303" s="28">
        <v>16962</v>
      </c>
      <c r="P303" s="28">
        <v>583</v>
      </c>
      <c r="Q303" s="28"/>
      <c r="R303" s="28"/>
      <c r="S303" s="28">
        <v>11</v>
      </c>
    </row>
    <row r="304" spans="1:19">
      <c r="A304" s="27" t="s">
        <v>32</v>
      </c>
      <c r="B304" s="28" t="s">
        <v>21</v>
      </c>
      <c r="C304" s="28" t="s">
        <v>8</v>
      </c>
      <c r="D304" s="28">
        <v>3</v>
      </c>
      <c r="E304" s="28">
        <v>3840</v>
      </c>
      <c r="F304" s="28">
        <v>2160</v>
      </c>
      <c r="G304" s="28">
        <v>433</v>
      </c>
      <c r="H304" s="28">
        <v>0.5</v>
      </c>
      <c r="I304" s="28">
        <f>Table14[[#This Row],[width_scalebar_mm]]/Table14[[#This Row],[width_scalebar_px]]</f>
        <v>1.1547344110854503E-3</v>
      </c>
      <c r="J304" s="28">
        <v>3</v>
      </c>
      <c r="K304" s="28">
        <v>1623072</v>
      </c>
      <c r="L304" s="28">
        <v>4642</v>
      </c>
      <c r="M304" s="28">
        <v>240660</v>
      </c>
      <c r="N304" s="28">
        <v>1753</v>
      </c>
      <c r="O304" s="28">
        <v>27677</v>
      </c>
      <c r="P304" s="28">
        <v>826</v>
      </c>
      <c r="Q304" s="28"/>
      <c r="R304" s="28"/>
      <c r="S304" s="28">
        <v>12</v>
      </c>
    </row>
    <row r="305" spans="1:19">
      <c r="A305" s="27" t="s">
        <v>32</v>
      </c>
      <c r="B305" s="28" t="s">
        <v>21</v>
      </c>
      <c r="C305" s="28" t="s">
        <v>8</v>
      </c>
      <c r="D305" s="28">
        <v>4</v>
      </c>
      <c r="E305" s="28">
        <v>3840</v>
      </c>
      <c r="F305" s="28">
        <v>2160</v>
      </c>
      <c r="G305" s="28">
        <v>441</v>
      </c>
      <c r="H305" s="28">
        <v>0.5</v>
      </c>
      <c r="I305" s="28">
        <f>Table14[[#This Row],[width_scalebar_mm]]/Table14[[#This Row],[width_scalebar_px]]</f>
        <v>1.1337868480725624E-3</v>
      </c>
      <c r="J305" s="28">
        <v>0</v>
      </c>
      <c r="K305" s="28">
        <v>1808070</v>
      </c>
      <c r="L305" s="28">
        <v>4900</v>
      </c>
      <c r="M305" s="28">
        <v>295340</v>
      </c>
      <c r="N305" s="28">
        <v>1951</v>
      </c>
      <c r="O305" s="28">
        <v>35089</v>
      </c>
      <c r="P305" s="28">
        <v>1008</v>
      </c>
      <c r="Q305" s="28"/>
      <c r="R305" s="28"/>
      <c r="S305" s="28">
        <v>12</v>
      </c>
    </row>
    <row r="306" spans="1:19">
      <c r="A306" s="27" t="s">
        <v>32</v>
      </c>
      <c r="B306" s="28" t="s">
        <v>21</v>
      </c>
      <c r="C306" s="28" t="s">
        <v>8</v>
      </c>
      <c r="D306" s="28">
        <v>5</v>
      </c>
      <c r="E306" s="28">
        <v>3840</v>
      </c>
      <c r="F306" s="28">
        <v>2160</v>
      </c>
      <c r="G306" s="28">
        <v>441</v>
      </c>
      <c r="H306" s="28">
        <v>0.5</v>
      </c>
      <c r="I306" s="28">
        <f>Table14[[#This Row],[width_scalebar_mm]]/Table14[[#This Row],[width_scalebar_px]]</f>
        <v>1.1337868480725624E-3</v>
      </c>
      <c r="J306" s="28">
        <v>2</v>
      </c>
      <c r="K306" s="28">
        <v>1438587</v>
      </c>
      <c r="L306" s="28">
        <v>4309</v>
      </c>
      <c r="M306" s="28">
        <v>341299</v>
      </c>
      <c r="N306" s="28">
        <v>2085</v>
      </c>
      <c r="O306" s="28">
        <v>38414</v>
      </c>
      <c r="P306" s="28">
        <v>1119</v>
      </c>
      <c r="Q306" s="28"/>
      <c r="R306" s="28"/>
      <c r="S306" s="28">
        <v>12</v>
      </c>
    </row>
    <row r="307" spans="1:19">
      <c r="A307" s="27" t="s">
        <v>32</v>
      </c>
      <c r="B307" s="28" t="s">
        <v>21</v>
      </c>
      <c r="C307" s="28" t="s">
        <v>8</v>
      </c>
      <c r="D307" s="28">
        <v>6</v>
      </c>
      <c r="E307" s="28">
        <v>3840</v>
      </c>
      <c r="F307" s="28">
        <v>2160</v>
      </c>
      <c r="G307" s="28">
        <v>459</v>
      </c>
      <c r="H307" s="28">
        <v>0.5</v>
      </c>
      <c r="I307" s="28">
        <f>Table14[[#This Row],[width_scalebar_mm]]/Table14[[#This Row],[width_scalebar_px]]</f>
        <v>1.0893246187363835E-3</v>
      </c>
      <c r="J307" s="28">
        <v>2</v>
      </c>
      <c r="K307" s="28">
        <v>1842918</v>
      </c>
      <c r="L307" s="28">
        <v>4876</v>
      </c>
      <c r="M307" s="28">
        <v>384447</v>
      </c>
      <c r="N307" s="28">
        <v>2211</v>
      </c>
      <c r="O307" s="28">
        <v>57569</v>
      </c>
      <c r="P307" s="28">
        <v>1313</v>
      </c>
      <c r="Q307" s="28"/>
      <c r="R307" s="28"/>
      <c r="S307" s="28">
        <v>12</v>
      </c>
    </row>
    <row r="308" spans="1:19">
      <c r="A308" s="27" t="s">
        <v>32</v>
      </c>
      <c r="B308" s="28" t="s">
        <v>21</v>
      </c>
      <c r="C308" s="28" t="s">
        <v>8</v>
      </c>
      <c r="D308" s="28">
        <v>7</v>
      </c>
      <c r="E308" s="28">
        <v>3840</v>
      </c>
      <c r="F308" s="28">
        <v>2160</v>
      </c>
      <c r="G308" s="28">
        <v>459</v>
      </c>
      <c r="H308" s="28">
        <v>0.5</v>
      </c>
      <c r="I308" s="28">
        <f>Table14[[#This Row],[width_scalebar_mm]]/Table14[[#This Row],[width_scalebar_px]]</f>
        <v>1.0893246187363835E-3</v>
      </c>
      <c r="J308" s="28">
        <v>2</v>
      </c>
      <c r="K308" s="28">
        <v>1833423</v>
      </c>
      <c r="L308" s="28">
        <v>4839</v>
      </c>
      <c r="M308" s="28">
        <v>431390</v>
      </c>
      <c r="N308" s="28">
        <v>2347</v>
      </c>
      <c r="O308" s="28">
        <v>70225</v>
      </c>
      <c r="P308" s="28">
        <v>1756</v>
      </c>
      <c r="Q308" s="28"/>
      <c r="R308" s="28"/>
      <c r="S308" s="28">
        <v>13</v>
      </c>
    </row>
    <row r="309" spans="1:19">
      <c r="A309" s="27" t="s">
        <v>32</v>
      </c>
      <c r="B309" s="28" t="s">
        <v>21</v>
      </c>
      <c r="C309" s="28" t="s">
        <v>8</v>
      </c>
      <c r="D309" s="28">
        <v>8</v>
      </c>
      <c r="E309" s="28">
        <v>3840</v>
      </c>
      <c r="F309" s="28">
        <v>2160</v>
      </c>
      <c r="G309" s="28">
        <v>462</v>
      </c>
      <c r="H309" s="28">
        <v>0.5</v>
      </c>
      <c r="I309" s="28">
        <f>Table14[[#This Row],[width_scalebar_mm]]/Table14[[#This Row],[width_scalebar_px]]</f>
        <v>1.0822510822510823E-3</v>
      </c>
      <c r="J309" s="28">
        <v>2</v>
      </c>
      <c r="K309" s="28">
        <v>2063640</v>
      </c>
      <c r="L309" s="28">
        <v>5148</v>
      </c>
      <c r="M309" s="28">
        <v>489989</v>
      </c>
      <c r="N309" s="28">
        <v>2498</v>
      </c>
      <c r="O309" s="28">
        <v>69690</v>
      </c>
      <c r="P309" s="28">
        <v>1382</v>
      </c>
      <c r="Q309" s="28"/>
      <c r="R309" s="28"/>
      <c r="S309" s="28">
        <v>13</v>
      </c>
    </row>
    <row r="310" spans="1:19">
      <c r="A310" s="27" t="s">
        <v>32</v>
      </c>
      <c r="B310" s="28" t="s">
        <v>21</v>
      </c>
      <c r="C310" s="28" t="s">
        <v>8</v>
      </c>
      <c r="D310" s="28">
        <v>9</v>
      </c>
      <c r="E310" s="28">
        <v>3840</v>
      </c>
      <c r="F310" s="28">
        <v>2160</v>
      </c>
      <c r="G310" s="28">
        <v>462</v>
      </c>
      <c r="H310" s="28">
        <v>0.5</v>
      </c>
      <c r="I310" s="28">
        <f>Table14[[#This Row],[width_scalebar_mm]]/Table14[[#This Row],[width_scalebar_px]]</f>
        <v>1.0822510822510823E-3</v>
      </c>
      <c r="J310" s="28">
        <v>3</v>
      </c>
      <c r="K310" s="28">
        <v>2336064</v>
      </c>
      <c r="L310" s="28">
        <v>5451</v>
      </c>
      <c r="M310" s="28">
        <v>542555</v>
      </c>
      <c r="N310" s="28">
        <v>2630</v>
      </c>
      <c r="O310" s="28">
        <v>94068</v>
      </c>
      <c r="P310" s="28">
        <v>1736</v>
      </c>
      <c r="Q310" s="28"/>
      <c r="R310" s="28"/>
      <c r="S310" s="28">
        <v>13</v>
      </c>
    </row>
    <row r="311" spans="1:19">
      <c r="A311" s="27" t="s">
        <v>32</v>
      </c>
      <c r="B311" s="28" t="s">
        <v>21</v>
      </c>
      <c r="C311" s="28" t="s">
        <v>8</v>
      </c>
      <c r="D311" s="28">
        <v>10</v>
      </c>
      <c r="E311" s="28">
        <v>3840</v>
      </c>
      <c r="F311" s="28">
        <v>2160</v>
      </c>
      <c r="G311" s="28">
        <v>462</v>
      </c>
      <c r="H311" s="28">
        <v>0.5</v>
      </c>
      <c r="I311" s="28">
        <f>Table14[[#This Row],[width_scalebar_mm]]/Table14[[#This Row],[width_scalebar_px]]</f>
        <v>1.0822510822510823E-3</v>
      </c>
      <c r="J311" s="28">
        <v>2</v>
      </c>
      <c r="K311" s="28">
        <v>2967993</v>
      </c>
      <c r="L311" s="28">
        <v>6147</v>
      </c>
      <c r="M311" s="28">
        <v>708954</v>
      </c>
      <c r="N311" s="28">
        <v>3004</v>
      </c>
      <c r="O311" s="28">
        <v>139528</v>
      </c>
      <c r="P311" s="28">
        <v>2204</v>
      </c>
      <c r="Q311" s="28"/>
      <c r="R311" s="28"/>
      <c r="S311" s="28">
        <v>14</v>
      </c>
    </row>
    <row r="312" spans="1:19">
      <c r="A312" s="27" t="s">
        <v>32</v>
      </c>
      <c r="B312" s="28" t="s">
        <v>21</v>
      </c>
      <c r="C312" s="28" t="s">
        <v>8</v>
      </c>
      <c r="D312" s="28">
        <v>11</v>
      </c>
      <c r="E312" s="28">
        <v>3840</v>
      </c>
      <c r="F312" s="28">
        <v>2160</v>
      </c>
      <c r="G312" s="28">
        <v>462</v>
      </c>
      <c r="H312" s="28">
        <v>0.5</v>
      </c>
      <c r="I312" s="28">
        <f>Table14[[#This Row],[width_scalebar_mm]]/Table14[[#This Row],[width_scalebar_px]]</f>
        <v>1.0822510822510823E-3</v>
      </c>
      <c r="J312" s="28">
        <v>0</v>
      </c>
      <c r="K312" s="28">
        <v>3210510</v>
      </c>
      <c r="L312" s="28">
        <v>6388</v>
      </c>
      <c r="M312" s="28">
        <v>823764</v>
      </c>
      <c r="N312" s="28">
        <v>3234</v>
      </c>
      <c r="O312" s="28">
        <v>210644</v>
      </c>
      <c r="P312" s="28">
        <v>3520</v>
      </c>
      <c r="Q312" s="28"/>
      <c r="R312" s="28"/>
      <c r="S312" s="28">
        <v>15</v>
      </c>
    </row>
    <row r="313" spans="1:19">
      <c r="A313" s="27" t="s">
        <v>32</v>
      </c>
      <c r="B313" s="28" t="s">
        <v>21</v>
      </c>
      <c r="C313" s="28" t="s">
        <v>8</v>
      </c>
      <c r="D313" s="28">
        <v>12</v>
      </c>
      <c r="E313" s="28">
        <v>3840</v>
      </c>
      <c r="F313" s="28">
        <v>2160</v>
      </c>
      <c r="G313" s="28">
        <v>326</v>
      </c>
      <c r="H313" s="28">
        <v>0.5</v>
      </c>
      <c r="I313" s="28">
        <f>Table14[[#This Row],[width_scalebar_mm]]/Table14[[#This Row],[width_scalebar_px]]</f>
        <v>1.5337423312883436E-3</v>
      </c>
      <c r="J313" s="28">
        <v>0</v>
      </c>
      <c r="K313" s="28">
        <v>3384741</v>
      </c>
      <c r="L313" s="28">
        <v>6548</v>
      </c>
      <c r="M313" s="28">
        <v>909814</v>
      </c>
      <c r="N313" s="28">
        <v>3399</v>
      </c>
      <c r="O313" s="28">
        <v>311363</v>
      </c>
      <c r="P313" s="28">
        <v>6195</v>
      </c>
      <c r="Q313" s="28"/>
      <c r="R313" s="28"/>
      <c r="S313" s="28">
        <v>17</v>
      </c>
    </row>
    <row r="314" spans="1:19">
      <c r="A314" s="19" t="s">
        <v>33</v>
      </c>
      <c r="B314" s="20" t="s">
        <v>21</v>
      </c>
      <c r="C314" s="20" t="s">
        <v>5</v>
      </c>
      <c r="D314" s="20">
        <v>1</v>
      </c>
      <c r="E314" s="20">
        <v>3840</v>
      </c>
      <c r="F314" s="20">
        <v>2160</v>
      </c>
      <c r="G314" s="20">
        <v>443</v>
      </c>
      <c r="H314" s="20">
        <v>0.5</v>
      </c>
      <c r="I314" s="20">
        <f>Table14[[#This Row],[width_scalebar_mm]]/Table14[[#This Row],[width_scalebar_px]]</f>
        <v>1.128668171557562E-3</v>
      </c>
      <c r="J314" s="20">
        <v>4</v>
      </c>
      <c r="K314" s="65" t="s">
        <v>287</v>
      </c>
      <c r="L314" s="20" t="s">
        <v>287</v>
      </c>
      <c r="M314" s="20" t="s">
        <v>287</v>
      </c>
      <c r="N314" s="20" t="s">
        <v>287</v>
      </c>
      <c r="O314" s="20" t="s">
        <v>287</v>
      </c>
      <c r="P314" s="20" t="s">
        <v>287</v>
      </c>
      <c r="Q314" s="20"/>
      <c r="R314" s="20"/>
      <c r="S314" s="20" t="s">
        <v>287</v>
      </c>
    </row>
    <row r="315" spans="1:19">
      <c r="A315" s="19" t="s">
        <v>33</v>
      </c>
      <c r="B315" s="20" t="s">
        <v>21</v>
      </c>
      <c r="C315" s="20" t="s">
        <v>5</v>
      </c>
      <c r="D315" s="20">
        <v>2</v>
      </c>
      <c r="E315" s="20">
        <v>3840</v>
      </c>
      <c r="F315" s="20">
        <v>2160</v>
      </c>
      <c r="G315" s="20">
        <v>443</v>
      </c>
      <c r="H315" s="20">
        <v>0.5</v>
      </c>
      <c r="I315" s="20">
        <f>Table14[[#This Row],[width_scalebar_mm]]/Table14[[#This Row],[width_scalebar_px]]</f>
        <v>1.128668171557562E-3</v>
      </c>
      <c r="J315" s="20">
        <v>4</v>
      </c>
      <c r="K315" s="65" t="s">
        <v>287</v>
      </c>
      <c r="L315" s="20" t="s">
        <v>287</v>
      </c>
      <c r="M315" s="20" t="s">
        <v>287</v>
      </c>
      <c r="N315" s="20" t="s">
        <v>287</v>
      </c>
      <c r="O315" s="20" t="s">
        <v>287</v>
      </c>
      <c r="P315" s="20" t="s">
        <v>287</v>
      </c>
      <c r="Q315" s="20"/>
      <c r="R315" s="20"/>
      <c r="S315" s="20" t="s">
        <v>287</v>
      </c>
    </row>
    <row r="316" spans="1:19">
      <c r="A316" s="19" t="s">
        <v>33</v>
      </c>
      <c r="B316" s="20" t="s">
        <v>21</v>
      </c>
      <c r="C316" s="20" t="s">
        <v>5</v>
      </c>
      <c r="D316" s="20">
        <v>3</v>
      </c>
      <c r="E316" s="20">
        <v>3840</v>
      </c>
      <c r="F316" s="20">
        <v>2160</v>
      </c>
      <c r="G316" s="20">
        <v>443</v>
      </c>
      <c r="H316" s="20">
        <v>0.5</v>
      </c>
      <c r="I316" s="20">
        <f>Table14[[#This Row],[width_scalebar_mm]]/Table14[[#This Row],[width_scalebar_px]]</f>
        <v>1.128668171557562E-3</v>
      </c>
      <c r="J316" s="20">
        <v>4</v>
      </c>
      <c r="K316" s="20">
        <v>1612032</v>
      </c>
      <c r="L316" s="20">
        <v>4658</v>
      </c>
      <c r="M316" s="20">
        <v>370887</v>
      </c>
      <c r="N316" s="20">
        <v>2239</v>
      </c>
      <c r="O316" s="65">
        <v>47329</v>
      </c>
      <c r="P316" s="65">
        <v>1132</v>
      </c>
      <c r="Q316" s="20"/>
      <c r="R316" s="20"/>
      <c r="S316" s="20" t="s">
        <v>287</v>
      </c>
    </row>
    <row r="317" spans="1:19">
      <c r="A317" s="19" t="s">
        <v>33</v>
      </c>
      <c r="B317" s="20" t="s">
        <v>21</v>
      </c>
      <c r="C317" s="20" t="s">
        <v>5</v>
      </c>
      <c r="D317" s="20">
        <v>4</v>
      </c>
      <c r="E317" s="20">
        <v>3840</v>
      </c>
      <c r="F317" s="20">
        <v>2160</v>
      </c>
      <c r="G317" s="20">
        <v>443</v>
      </c>
      <c r="H317" s="20">
        <v>0.5</v>
      </c>
      <c r="I317" s="20">
        <f>Table14[[#This Row],[width_scalebar_mm]]/Table14[[#This Row],[width_scalebar_px]]</f>
        <v>1.128668171557562E-3</v>
      </c>
      <c r="J317" s="20">
        <v>2</v>
      </c>
      <c r="K317" s="20">
        <v>1824612</v>
      </c>
      <c r="L317" s="20">
        <v>4830</v>
      </c>
      <c r="M317" s="20">
        <v>356842</v>
      </c>
      <c r="N317" s="20">
        <v>2132</v>
      </c>
      <c r="O317" s="65">
        <v>57839</v>
      </c>
      <c r="P317" s="65">
        <v>1219</v>
      </c>
      <c r="Q317" s="20"/>
      <c r="R317" s="20"/>
      <c r="S317" s="20">
        <v>12</v>
      </c>
    </row>
    <row r="318" spans="1:19">
      <c r="A318" s="19" t="s">
        <v>33</v>
      </c>
      <c r="B318" s="20" t="s">
        <v>21</v>
      </c>
      <c r="C318" s="20" t="s">
        <v>5</v>
      </c>
      <c r="D318" s="20">
        <v>5</v>
      </c>
      <c r="E318" s="20">
        <v>3840</v>
      </c>
      <c r="F318" s="20">
        <v>2160</v>
      </c>
      <c r="G318" s="20">
        <v>443</v>
      </c>
      <c r="H318" s="20">
        <v>0.5</v>
      </c>
      <c r="I318" s="20">
        <f>Table14[[#This Row],[width_scalebar_mm]]/Table14[[#This Row],[width_scalebar_px]]</f>
        <v>1.128668171557562E-3</v>
      </c>
      <c r="J318" s="20">
        <v>3</v>
      </c>
      <c r="K318" s="20">
        <v>2016675</v>
      </c>
      <c r="L318" s="20">
        <v>5072</v>
      </c>
      <c r="M318" s="20">
        <v>404394</v>
      </c>
      <c r="N318" s="20">
        <v>2269</v>
      </c>
      <c r="O318" s="65">
        <v>68163</v>
      </c>
      <c r="P318" s="65">
        <v>1465</v>
      </c>
      <c r="Q318" s="20"/>
      <c r="R318" s="20"/>
      <c r="S318" s="20">
        <v>12</v>
      </c>
    </row>
    <row r="319" spans="1:19">
      <c r="A319" s="19" t="s">
        <v>33</v>
      </c>
      <c r="B319" s="20" t="s">
        <v>21</v>
      </c>
      <c r="C319" s="20" t="s">
        <v>5</v>
      </c>
      <c r="D319" s="20">
        <v>6</v>
      </c>
      <c r="E319" s="20">
        <v>3840</v>
      </c>
      <c r="F319" s="20">
        <v>2160</v>
      </c>
      <c r="G319" s="20">
        <v>443</v>
      </c>
      <c r="H319" s="20">
        <v>0.5</v>
      </c>
      <c r="I319" s="20">
        <f>Table14[[#This Row],[width_scalebar_mm]]/Table14[[#This Row],[width_scalebar_px]]</f>
        <v>1.128668171557562E-3</v>
      </c>
      <c r="J319" s="20">
        <v>3</v>
      </c>
      <c r="K319" s="20">
        <v>1882962</v>
      </c>
      <c r="L319" s="20">
        <v>4895</v>
      </c>
      <c r="M319" s="20">
        <v>423349</v>
      </c>
      <c r="N319" s="20">
        <v>2330</v>
      </c>
      <c r="O319" s="65">
        <v>75792</v>
      </c>
      <c r="P319" s="65">
        <v>1355</v>
      </c>
      <c r="Q319" s="20"/>
      <c r="R319" s="20"/>
      <c r="S319" s="20">
        <v>13</v>
      </c>
    </row>
    <row r="320" spans="1:19">
      <c r="A320" s="19" t="s">
        <v>33</v>
      </c>
      <c r="B320" s="20" t="s">
        <v>21</v>
      </c>
      <c r="C320" s="20" t="s">
        <v>5</v>
      </c>
      <c r="D320" s="20">
        <v>7</v>
      </c>
      <c r="E320" s="20">
        <v>3840</v>
      </c>
      <c r="F320" s="20">
        <v>2160</v>
      </c>
      <c r="G320" s="20">
        <v>443</v>
      </c>
      <c r="H320" s="20">
        <v>0.5</v>
      </c>
      <c r="I320" s="20">
        <f>Table14[[#This Row],[width_scalebar_mm]]/Table14[[#This Row],[width_scalebar_px]]</f>
        <v>1.128668171557562E-3</v>
      </c>
      <c r="J320" s="20">
        <v>2</v>
      </c>
      <c r="K320" s="20">
        <v>2171178</v>
      </c>
      <c r="L320" s="20">
        <v>5287</v>
      </c>
      <c r="M320" s="20">
        <v>522155</v>
      </c>
      <c r="N320" s="20">
        <v>2581</v>
      </c>
      <c r="O320" s="65">
        <v>112535</v>
      </c>
      <c r="P320" s="65">
        <v>1601</v>
      </c>
      <c r="Q320" s="20"/>
      <c r="R320" s="20"/>
      <c r="S320" s="20">
        <v>13</v>
      </c>
    </row>
    <row r="321" spans="1:19">
      <c r="A321" s="19" t="s">
        <v>33</v>
      </c>
      <c r="B321" s="20" t="s">
        <v>21</v>
      </c>
      <c r="C321" s="20" t="s">
        <v>5</v>
      </c>
      <c r="D321" s="20">
        <v>8</v>
      </c>
      <c r="E321" s="20">
        <v>3840</v>
      </c>
      <c r="F321" s="20">
        <v>2160</v>
      </c>
      <c r="G321" s="20">
        <v>443</v>
      </c>
      <c r="H321" s="20">
        <v>0.5</v>
      </c>
      <c r="I321" s="20">
        <f>Table14[[#This Row],[width_scalebar_mm]]/Table14[[#This Row],[width_scalebar_px]]</f>
        <v>1.128668171557562E-3</v>
      </c>
      <c r="J321" s="20">
        <v>1</v>
      </c>
      <c r="K321" s="20">
        <v>2338374</v>
      </c>
      <c r="L321" s="20">
        <v>5478</v>
      </c>
      <c r="M321" s="20">
        <v>626115</v>
      </c>
      <c r="N321" s="20">
        <v>2828</v>
      </c>
      <c r="O321" s="65">
        <v>153531</v>
      </c>
      <c r="P321" s="65">
        <v>2458</v>
      </c>
      <c r="Q321" s="20"/>
      <c r="R321" s="20"/>
      <c r="S321" s="20">
        <v>15</v>
      </c>
    </row>
    <row r="322" spans="1:19">
      <c r="A322" s="19" t="s">
        <v>33</v>
      </c>
      <c r="B322" s="20" t="s">
        <v>21</v>
      </c>
      <c r="C322" s="20" t="s">
        <v>5</v>
      </c>
      <c r="D322" s="20">
        <v>9</v>
      </c>
      <c r="E322" s="20">
        <v>3840</v>
      </c>
      <c r="F322" s="20">
        <v>2160</v>
      </c>
      <c r="G322" s="20">
        <v>443</v>
      </c>
      <c r="H322" s="20">
        <v>0.5</v>
      </c>
      <c r="I322" s="20">
        <f>Table14[[#This Row],[width_scalebar_mm]]/Table14[[#This Row],[width_scalebar_px]]</f>
        <v>1.128668171557562E-3</v>
      </c>
      <c r="J322" s="20">
        <v>2</v>
      </c>
      <c r="K322" s="20">
        <v>2595882</v>
      </c>
      <c r="L322" s="20">
        <v>5746</v>
      </c>
      <c r="M322" s="20">
        <v>800052</v>
      </c>
      <c r="N322" s="20">
        <v>3191</v>
      </c>
      <c r="O322" s="65">
        <v>217541</v>
      </c>
      <c r="P322" s="65">
        <v>2942</v>
      </c>
      <c r="Q322" s="20"/>
      <c r="R322" s="20"/>
      <c r="S322" s="20">
        <v>16</v>
      </c>
    </row>
    <row r="323" spans="1:19">
      <c r="A323" s="19" t="s">
        <v>33</v>
      </c>
      <c r="B323" s="20" t="s">
        <v>21</v>
      </c>
      <c r="C323" s="20" t="s">
        <v>5</v>
      </c>
      <c r="D323" s="20">
        <v>10</v>
      </c>
      <c r="E323" s="20">
        <v>3840</v>
      </c>
      <c r="F323" s="20">
        <v>2160</v>
      </c>
      <c r="G323" s="20">
        <v>310</v>
      </c>
      <c r="H323" s="20">
        <v>0.5</v>
      </c>
      <c r="I323" s="20">
        <f>Table14[[#This Row],[width_scalebar_mm]]/Table14[[#This Row],[width_scalebar_px]]</f>
        <v>1.6129032258064516E-3</v>
      </c>
      <c r="J323" s="20">
        <v>2</v>
      </c>
      <c r="K323" s="20">
        <v>1689354</v>
      </c>
      <c r="L323" s="20">
        <v>4641</v>
      </c>
      <c r="M323" s="20">
        <v>571313</v>
      </c>
      <c r="N323" s="20">
        <v>2699</v>
      </c>
      <c r="O323" s="65">
        <v>198669</v>
      </c>
      <c r="P323" s="65">
        <v>2794</v>
      </c>
      <c r="Q323" s="20"/>
      <c r="R323" s="20"/>
      <c r="S323" s="20">
        <v>17</v>
      </c>
    </row>
    <row r="324" spans="1:19">
      <c r="A324" s="19" t="s">
        <v>33</v>
      </c>
      <c r="B324" s="20" t="s">
        <v>21</v>
      </c>
      <c r="C324" s="20" t="s">
        <v>5</v>
      </c>
      <c r="D324" s="20">
        <v>11</v>
      </c>
      <c r="E324" s="20">
        <v>3840</v>
      </c>
      <c r="F324" s="20">
        <v>2160</v>
      </c>
      <c r="G324" s="20">
        <v>310</v>
      </c>
      <c r="H324" s="20">
        <v>0.5</v>
      </c>
      <c r="I324" s="20">
        <f>Table14[[#This Row],[width_scalebar_mm]]/Table14[[#This Row],[width_scalebar_px]]</f>
        <v>1.6129032258064516E-3</v>
      </c>
      <c r="J324" s="20">
        <v>4</v>
      </c>
      <c r="K324" s="20">
        <v>2984583</v>
      </c>
      <c r="L324" s="20">
        <v>6152</v>
      </c>
      <c r="M324" s="20">
        <v>1012078</v>
      </c>
      <c r="N324" s="20">
        <v>3588</v>
      </c>
      <c r="O324" s="65">
        <v>455848</v>
      </c>
      <c r="P324" s="65">
        <v>5404</v>
      </c>
      <c r="Q324" s="20"/>
      <c r="R324" s="20"/>
      <c r="S324" s="20">
        <v>18</v>
      </c>
    </row>
    <row r="325" spans="1:19">
      <c r="A325" s="23" t="s">
        <v>1436</v>
      </c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>
      <c r="A326" s="23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>
      <c r="A327" s="23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9F0B-84AC-46E6-84C4-6673496F335C}">
  <dimension ref="A1:Q205"/>
  <sheetViews>
    <sheetView workbookViewId="0">
      <selection activeCell="G218" sqref="G218"/>
    </sheetView>
  </sheetViews>
  <sheetFormatPr defaultRowHeight="15"/>
  <cols>
    <col min="1" max="1" width="14.7109375" style="3" bestFit="1" customWidth="1"/>
    <col min="2" max="2" width="18.85546875" style="3" bestFit="1" customWidth="1"/>
    <col min="3" max="3" width="10.7109375" style="3" bestFit="1" customWidth="1"/>
    <col min="4" max="4" width="12" style="3" bestFit="1" customWidth="1"/>
    <col min="5" max="5" width="12.140625" style="3" bestFit="1" customWidth="1"/>
    <col min="6" max="6" width="19.7109375" style="3" bestFit="1" customWidth="1"/>
    <col min="7" max="7" width="43.85546875" style="3" bestFit="1" customWidth="1"/>
    <col min="8" max="8" width="9.42578125" style="3" bestFit="1" customWidth="1"/>
    <col min="9" max="9" width="14.5703125" style="3" bestFit="1" customWidth="1"/>
    <col min="10" max="11" width="7.7109375" style="3" bestFit="1" customWidth="1"/>
    <col min="12" max="12" width="10.7109375" style="3" bestFit="1" customWidth="1"/>
    <col min="13" max="13" width="11.28515625" style="3" bestFit="1" customWidth="1"/>
    <col min="14" max="14" width="14.28515625" style="3" bestFit="1" customWidth="1"/>
    <col min="15" max="15" width="16.42578125" style="3" bestFit="1" customWidth="1"/>
    <col min="16" max="16" width="14.85546875" style="3" bestFit="1" customWidth="1"/>
    <col min="17" max="17" width="12.140625" style="3" bestFit="1" customWidth="1"/>
  </cols>
  <sheetData>
    <row r="1" spans="1:17">
      <c r="A1" s="14" t="s">
        <v>0</v>
      </c>
      <c r="B1" s="15" t="s">
        <v>1</v>
      </c>
      <c r="C1" s="15" t="s">
        <v>2</v>
      </c>
      <c r="D1" s="15" t="s">
        <v>80</v>
      </c>
      <c r="E1" s="15" t="s">
        <v>79</v>
      </c>
      <c r="F1" s="15" t="s">
        <v>78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18" t="s">
        <v>91</v>
      </c>
    </row>
    <row r="2" spans="1:17">
      <c r="A2" s="1" t="s">
        <v>12</v>
      </c>
      <c r="B2" s="2" t="s">
        <v>4</v>
      </c>
      <c r="C2" s="2" t="s">
        <v>8</v>
      </c>
      <c r="D2" s="2">
        <v>1</v>
      </c>
      <c r="E2" s="2" t="s">
        <v>77</v>
      </c>
      <c r="F2" s="2">
        <v>1</v>
      </c>
      <c r="G2" s="2" t="s">
        <v>92</v>
      </c>
      <c r="H2" s="2">
        <v>1201</v>
      </c>
      <c r="I2" s="2">
        <v>127.88200000000001</v>
      </c>
      <c r="J2" s="2">
        <v>2165</v>
      </c>
      <c r="K2" s="2">
        <v>974</v>
      </c>
      <c r="L2" s="2">
        <v>39</v>
      </c>
      <c r="M2" s="2">
        <v>39</v>
      </c>
      <c r="N2" s="2">
        <v>0.92300000000000004</v>
      </c>
      <c r="O2" s="2">
        <v>1</v>
      </c>
      <c r="P2" s="2">
        <v>1</v>
      </c>
      <c r="Q2" s="13">
        <v>0.96899999999999997</v>
      </c>
    </row>
    <row r="3" spans="1:17">
      <c r="A3" s="1" t="s">
        <v>12</v>
      </c>
      <c r="B3" s="2" t="s">
        <v>4</v>
      </c>
      <c r="C3" s="2" t="s">
        <v>8</v>
      </c>
      <c r="D3" s="2">
        <v>1</v>
      </c>
      <c r="E3" s="2" t="s">
        <v>77</v>
      </c>
      <c r="F3" s="2">
        <v>2</v>
      </c>
      <c r="G3" s="2" t="s">
        <v>93</v>
      </c>
      <c r="H3" s="2">
        <v>1457</v>
      </c>
      <c r="I3" s="2">
        <v>141.53899999999999</v>
      </c>
      <c r="J3" s="2">
        <v>2114</v>
      </c>
      <c r="K3" s="2">
        <v>971</v>
      </c>
      <c r="L3" s="2">
        <v>43</v>
      </c>
      <c r="M3" s="2">
        <v>43</v>
      </c>
      <c r="N3" s="2">
        <v>0.91400000000000003</v>
      </c>
      <c r="O3" s="2">
        <v>1</v>
      </c>
      <c r="P3" s="2">
        <v>1</v>
      </c>
      <c r="Q3" s="13">
        <v>0.96799999999999997</v>
      </c>
    </row>
    <row r="4" spans="1:17">
      <c r="A4" s="1" t="s">
        <v>12</v>
      </c>
      <c r="B4" s="2" t="s">
        <v>4</v>
      </c>
      <c r="C4" s="2" t="s">
        <v>8</v>
      </c>
      <c r="D4" s="2">
        <v>1</v>
      </c>
      <c r="E4" s="2" t="s">
        <v>77</v>
      </c>
      <c r="F4" s="2">
        <v>3</v>
      </c>
      <c r="G4" s="2" t="s">
        <v>94</v>
      </c>
      <c r="H4" s="2">
        <v>1664</v>
      </c>
      <c r="I4" s="2">
        <v>151.196</v>
      </c>
      <c r="J4" s="2">
        <v>2070</v>
      </c>
      <c r="K4" s="2">
        <v>999</v>
      </c>
      <c r="L4" s="2">
        <v>46</v>
      </c>
      <c r="M4" s="2">
        <v>46</v>
      </c>
      <c r="N4" s="2">
        <v>0.91500000000000004</v>
      </c>
      <c r="O4" s="2">
        <v>1</v>
      </c>
      <c r="P4" s="2">
        <v>1</v>
      </c>
      <c r="Q4" s="13">
        <v>0.97299999999999998</v>
      </c>
    </row>
    <row r="5" spans="1:17">
      <c r="A5" s="1" t="s">
        <v>12</v>
      </c>
      <c r="B5" s="2" t="s">
        <v>4</v>
      </c>
      <c r="C5" s="2" t="s">
        <v>8</v>
      </c>
      <c r="D5" s="2">
        <v>1</v>
      </c>
      <c r="E5" s="2" t="s">
        <v>77</v>
      </c>
      <c r="F5" s="2">
        <v>4</v>
      </c>
      <c r="G5" s="2" t="s">
        <v>95</v>
      </c>
      <c r="H5" s="2">
        <v>1976</v>
      </c>
      <c r="I5" s="2">
        <v>164.85300000000001</v>
      </c>
      <c r="J5" s="2">
        <v>2200</v>
      </c>
      <c r="K5" s="2">
        <v>1031</v>
      </c>
      <c r="L5" s="2">
        <v>50</v>
      </c>
      <c r="M5" s="2">
        <v>50</v>
      </c>
      <c r="N5" s="2">
        <v>0.91400000000000003</v>
      </c>
      <c r="O5" s="2">
        <v>1</v>
      </c>
      <c r="P5" s="2">
        <v>1</v>
      </c>
      <c r="Q5" s="13">
        <v>0.97199999999999998</v>
      </c>
    </row>
    <row r="6" spans="1:17">
      <c r="A6" s="1" t="s">
        <v>12</v>
      </c>
      <c r="B6" s="2" t="s">
        <v>4</v>
      </c>
      <c r="C6" s="2" t="s">
        <v>8</v>
      </c>
      <c r="D6" s="2">
        <v>1</v>
      </c>
      <c r="E6" s="2" t="s">
        <v>77</v>
      </c>
      <c r="F6" s="2">
        <v>5</v>
      </c>
      <c r="G6" s="2" t="s">
        <v>96</v>
      </c>
      <c r="H6" s="2">
        <v>2009</v>
      </c>
      <c r="I6" s="2">
        <v>169.43899999999999</v>
      </c>
      <c r="J6" s="2">
        <v>2078</v>
      </c>
      <c r="K6" s="2">
        <v>1056</v>
      </c>
      <c r="L6" s="2">
        <v>54</v>
      </c>
      <c r="M6" s="2">
        <v>47</v>
      </c>
      <c r="N6" s="2">
        <v>0.879</v>
      </c>
      <c r="O6" s="2">
        <v>1.171</v>
      </c>
      <c r="P6" s="2">
        <v>0.85399999999999998</v>
      </c>
      <c r="Q6" s="13">
        <v>0.96499999999999997</v>
      </c>
    </row>
    <row r="7" spans="1:17">
      <c r="A7" s="1" t="s">
        <v>12</v>
      </c>
      <c r="B7" s="2" t="s">
        <v>4</v>
      </c>
      <c r="C7" s="2" t="s">
        <v>8</v>
      </c>
      <c r="D7" s="2">
        <v>1</v>
      </c>
      <c r="E7" s="2" t="s">
        <v>77</v>
      </c>
      <c r="F7" s="2">
        <v>6</v>
      </c>
      <c r="G7" s="2" t="s">
        <v>97</v>
      </c>
      <c r="H7" s="2">
        <v>1457</v>
      </c>
      <c r="I7" s="2">
        <v>141.53899999999999</v>
      </c>
      <c r="J7" s="2">
        <v>2162</v>
      </c>
      <c r="K7" s="2">
        <v>1070</v>
      </c>
      <c r="L7" s="2">
        <v>43</v>
      </c>
      <c r="M7" s="2">
        <v>43</v>
      </c>
      <c r="N7" s="2">
        <v>0.91400000000000003</v>
      </c>
      <c r="O7" s="2">
        <v>1</v>
      </c>
      <c r="P7" s="2">
        <v>1</v>
      </c>
      <c r="Q7" s="13">
        <v>0.96799999999999997</v>
      </c>
    </row>
    <row r="8" spans="1:17">
      <c r="A8" s="1" t="s">
        <v>12</v>
      </c>
      <c r="B8" s="2" t="s">
        <v>4</v>
      </c>
      <c r="C8" s="2" t="s">
        <v>8</v>
      </c>
      <c r="D8" s="2">
        <v>2</v>
      </c>
      <c r="E8" s="2" t="s">
        <v>77</v>
      </c>
      <c r="F8" s="2">
        <v>1</v>
      </c>
      <c r="G8" s="2" t="s">
        <v>98</v>
      </c>
      <c r="H8" s="2">
        <v>2472</v>
      </c>
      <c r="I8" s="2">
        <v>184.167</v>
      </c>
      <c r="J8" s="2">
        <v>1787</v>
      </c>
      <c r="K8" s="2">
        <v>1114</v>
      </c>
      <c r="L8" s="2">
        <v>56</v>
      </c>
      <c r="M8" s="2">
        <v>56</v>
      </c>
      <c r="N8" s="2">
        <v>0.91600000000000004</v>
      </c>
      <c r="O8" s="2">
        <v>1</v>
      </c>
      <c r="P8" s="2">
        <v>1</v>
      </c>
      <c r="Q8" s="13">
        <v>0.97499999999999998</v>
      </c>
    </row>
    <row r="9" spans="1:17">
      <c r="A9" s="1" t="s">
        <v>12</v>
      </c>
      <c r="B9" s="2" t="s">
        <v>4</v>
      </c>
      <c r="C9" s="2" t="s">
        <v>8</v>
      </c>
      <c r="D9" s="2">
        <v>2</v>
      </c>
      <c r="E9" s="2" t="s">
        <v>77</v>
      </c>
      <c r="F9" s="2">
        <v>2</v>
      </c>
      <c r="G9" s="2" t="s">
        <v>99</v>
      </c>
      <c r="H9" s="2">
        <v>3436</v>
      </c>
      <c r="I9" s="2">
        <v>217.137</v>
      </c>
      <c r="J9" s="2">
        <v>1858</v>
      </c>
      <c r="K9" s="2">
        <v>1137</v>
      </c>
      <c r="L9" s="2">
        <v>66</v>
      </c>
      <c r="M9" s="2">
        <v>66</v>
      </c>
      <c r="N9" s="2">
        <v>0.91600000000000004</v>
      </c>
      <c r="O9" s="2">
        <v>1</v>
      </c>
      <c r="P9" s="2">
        <v>1</v>
      </c>
      <c r="Q9" s="13">
        <v>0.97899999999999998</v>
      </c>
    </row>
    <row r="10" spans="1:17">
      <c r="A10" s="1" t="s">
        <v>12</v>
      </c>
      <c r="B10" s="2" t="s">
        <v>4</v>
      </c>
      <c r="C10" s="2" t="s">
        <v>8</v>
      </c>
      <c r="D10" s="2">
        <v>2</v>
      </c>
      <c r="E10" s="2" t="s">
        <v>77</v>
      </c>
      <c r="F10" s="2">
        <v>3</v>
      </c>
      <c r="G10" s="2" t="s">
        <v>100</v>
      </c>
      <c r="H10" s="2">
        <v>2933</v>
      </c>
      <c r="I10" s="2">
        <v>201.82300000000001</v>
      </c>
      <c r="J10" s="2">
        <v>1702</v>
      </c>
      <c r="K10" s="2">
        <v>1188</v>
      </c>
      <c r="L10" s="2">
        <v>61</v>
      </c>
      <c r="M10" s="2">
        <v>61</v>
      </c>
      <c r="N10" s="2">
        <v>0.90500000000000003</v>
      </c>
      <c r="O10" s="2">
        <v>1</v>
      </c>
      <c r="P10" s="2">
        <v>1</v>
      </c>
      <c r="Q10" s="13">
        <v>0.97499999999999998</v>
      </c>
    </row>
    <row r="11" spans="1:17">
      <c r="A11" s="1" t="s">
        <v>12</v>
      </c>
      <c r="B11" s="2" t="s">
        <v>4</v>
      </c>
      <c r="C11" s="2" t="s">
        <v>8</v>
      </c>
      <c r="D11" s="2">
        <v>2</v>
      </c>
      <c r="E11" s="2" t="s">
        <v>77</v>
      </c>
      <c r="F11" s="2">
        <v>4</v>
      </c>
      <c r="G11" s="2" t="s">
        <v>101</v>
      </c>
      <c r="H11" s="2">
        <v>2292</v>
      </c>
      <c r="I11" s="2">
        <v>178.51</v>
      </c>
      <c r="J11" s="2">
        <v>1876</v>
      </c>
      <c r="K11" s="2">
        <v>1236</v>
      </c>
      <c r="L11" s="2">
        <v>54</v>
      </c>
      <c r="M11" s="2">
        <v>54</v>
      </c>
      <c r="N11" s="2">
        <v>0.90400000000000003</v>
      </c>
      <c r="O11" s="2">
        <v>1</v>
      </c>
      <c r="P11" s="2">
        <v>1</v>
      </c>
      <c r="Q11" s="13">
        <v>0.97399999999999998</v>
      </c>
    </row>
    <row r="12" spans="1:17">
      <c r="A12" s="1" t="s">
        <v>12</v>
      </c>
      <c r="B12" s="2" t="s">
        <v>4</v>
      </c>
      <c r="C12" s="2" t="s">
        <v>8</v>
      </c>
      <c r="D12" s="2">
        <v>2</v>
      </c>
      <c r="E12" s="2" t="s">
        <v>77</v>
      </c>
      <c r="F12" s="2">
        <v>5</v>
      </c>
      <c r="G12" s="2" t="s">
        <v>102</v>
      </c>
      <c r="H12" s="2">
        <v>3228</v>
      </c>
      <c r="I12" s="2">
        <v>211.48</v>
      </c>
      <c r="J12" s="2">
        <v>1688</v>
      </c>
      <c r="K12" s="2">
        <v>1277</v>
      </c>
      <c r="L12" s="2">
        <v>64</v>
      </c>
      <c r="M12" s="2">
        <v>64</v>
      </c>
      <c r="N12" s="2">
        <v>0.90700000000000003</v>
      </c>
      <c r="O12" s="2">
        <v>1</v>
      </c>
      <c r="P12" s="2">
        <v>1</v>
      </c>
      <c r="Q12" s="13">
        <v>0.97599999999999998</v>
      </c>
    </row>
    <row r="13" spans="1:17">
      <c r="A13" s="1" t="s">
        <v>12</v>
      </c>
      <c r="B13" s="2" t="s">
        <v>4</v>
      </c>
      <c r="C13" s="2" t="s">
        <v>8</v>
      </c>
      <c r="D13" s="2">
        <v>2</v>
      </c>
      <c r="E13" s="2" t="s">
        <v>77</v>
      </c>
      <c r="F13" s="2">
        <v>6</v>
      </c>
      <c r="G13" s="2" t="s">
        <v>103</v>
      </c>
      <c r="H13" s="2">
        <v>3024</v>
      </c>
      <c r="I13" s="2">
        <v>203.48</v>
      </c>
      <c r="J13" s="2">
        <v>1800</v>
      </c>
      <c r="K13" s="2">
        <v>1286</v>
      </c>
      <c r="L13" s="2">
        <v>62</v>
      </c>
      <c r="M13" s="2">
        <v>62</v>
      </c>
      <c r="N13" s="2">
        <v>0.91800000000000004</v>
      </c>
      <c r="O13" s="2">
        <v>1</v>
      </c>
      <c r="P13" s="2">
        <v>1</v>
      </c>
      <c r="Q13" s="13">
        <v>0.97899999999999998</v>
      </c>
    </row>
    <row r="14" spans="1:17">
      <c r="A14" s="1" t="s">
        <v>12</v>
      </c>
      <c r="B14" s="2" t="s">
        <v>4</v>
      </c>
      <c r="C14" s="2" t="s">
        <v>8</v>
      </c>
      <c r="D14" s="2">
        <v>3</v>
      </c>
      <c r="E14" s="2" t="s">
        <v>77</v>
      </c>
      <c r="F14" s="2">
        <v>1</v>
      </c>
      <c r="G14" s="2" t="s">
        <v>104</v>
      </c>
      <c r="H14" s="2">
        <v>3939</v>
      </c>
      <c r="I14" s="2">
        <v>235.86500000000001</v>
      </c>
      <c r="J14" s="2">
        <v>2037</v>
      </c>
      <c r="K14" s="2">
        <v>1058</v>
      </c>
      <c r="L14" s="2">
        <v>76</v>
      </c>
      <c r="M14" s="2">
        <v>68</v>
      </c>
      <c r="N14" s="2">
        <v>0.89</v>
      </c>
      <c r="O14" s="2">
        <v>1.2350000000000001</v>
      </c>
      <c r="P14" s="2">
        <v>0.81</v>
      </c>
      <c r="Q14" s="13">
        <v>0.97499999999999998</v>
      </c>
    </row>
    <row r="15" spans="1:17">
      <c r="A15" s="1" t="s">
        <v>12</v>
      </c>
      <c r="B15" s="2" t="s">
        <v>4</v>
      </c>
      <c r="C15" s="2" t="s">
        <v>8</v>
      </c>
      <c r="D15" s="2">
        <v>3</v>
      </c>
      <c r="E15" s="2" t="s">
        <v>77</v>
      </c>
      <c r="F15" s="2">
        <v>2</v>
      </c>
      <c r="G15" s="2" t="s">
        <v>105</v>
      </c>
      <c r="H15" s="2">
        <v>2933</v>
      </c>
      <c r="I15" s="2">
        <v>201.82300000000001</v>
      </c>
      <c r="J15" s="2">
        <v>1907</v>
      </c>
      <c r="K15" s="2">
        <v>1070</v>
      </c>
      <c r="L15" s="2">
        <v>61</v>
      </c>
      <c r="M15" s="2">
        <v>61</v>
      </c>
      <c r="N15" s="2">
        <v>0.90500000000000003</v>
      </c>
      <c r="O15" s="2">
        <v>1</v>
      </c>
      <c r="P15" s="2">
        <v>1</v>
      </c>
      <c r="Q15" s="13">
        <v>0.97499999999999998</v>
      </c>
    </row>
    <row r="16" spans="1:17">
      <c r="A16" s="1" t="s">
        <v>12</v>
      </c>
      <c r="B16" s="2" t="s">
        <v>4</v>
      </c>
      <c r="C16" s="2" t="s">
        <v>8</v>
      </c>
      <c r="D16" s="2">
        <v>3</v>
      </c>
      <c r="E16" s="2" t="s">
        <v>77</v>
      </c>
      <c r="F16" s="2">
        <v>3</v>
      </c>
      <c r="G16" s="2" t="s">
        <v>106</v>
      </c>
      <c r="H16" s="2">
        <v>3969</v>
      </c>
      <c r="I16" s="2">
        <v>234.79400000000001</v>
      </c>
      <c r="J16" s="2">
        <v>1843</v>
      </c>
      <c r="K16" s="2">
        <v>1139</v>
      </c>
      <c r="L16" s="2">
        <v>71</v>
      </c>
      <c r="M16" s="2">
        <v>71</v>
      </c>
      <c r="N16" s="2">
        <v>0.90500000000000003</v>
      </c>
      <c r="O16" s="2">
        <v>1</v>
      </c>
      <c r="P16" s="2">
        <v>1</v>
      </c>
      <c r="Q16" s="13">
        <v>0.97799999999999998</v>
      </c>
    </row>
    <row r="17" spans="1:17">
      <c r="A17" s="1" t="s">
        <v>12</v>
      </c>
      <c r="B17" s="2" t="s">
        <v>4</v>
      </c>
      <c r="C17" s="2" t="s">
        <v>8</v>
      </c>
      <c r="D17" s="2">
        <v>3</v>
      </c>
      <c r="E17" s="2" t="s">
        <v>77</v>
      </c>
      <c r="F17" s="2">
        <v>4</v>
      </c>
      <c r="G17" s="2" t="s">
        <v>107</v>
      </c>
      <c r="H17" s="2">
        <v>5778</v>
      </c>
      <c r="I17" s="2">
        <v>284.73500000000001</v>
      </c>
      <c r="J17" s="2">
        <v>2038</v>
      </c>
      <c r="K17" s="2">
        <v>1159</v>
      </c>
      <c r="L17" s="2">
        <v>92</v>
      </c>
      <c r="M17" s="2">
        <v>82</v>
      </c>
      <c r="N17" s="2">
        <v>0.89600000000000002</v>
      </c>
      <c r="O17" s="2">
        <v>1.143</v>
      </c>
      <c r="P17" s="2">
        <v>0.875</v>
      </c>
      <c r="Q17" s="13">
        <v>0.98</v>
      </c>
    </row>
    <row r="18" spans="1:17">
      <c r="A18" s="1" t="s">
        <v>12</v>
      </c>
      <c r="B18" s="2" t="s">
        <v>4</v>
      </c>
      <c r="C18" s="2" t="s">
        <v>8</v>
      </c>
      <c r="D18" s="2">
        <v>3</v>
      </c>
      <c r="E18" s="2" t="s">
        <v>77</v>
      </c>
      <c r="F18" s="2">
        <v>5</v>
      </c>
      <c r="G18" s="2" t="s">
        <v>108</v>
      </c>
      <c r="H18" s="2">
        <v>4737</v>
      </c>
      <c r="I18" s="2">
        <v>257.66399999999999</v>
      </c>
      <c r="J18" s="2">
        <v>1865</v>
      </c>
      <c r="K18" s="2">
        <v>1249</v>
      </c>
      <c r="L18" s="2">
        <v>78</v>
      </c>
      <c r="M18" s="2">
        <v>81</v>
      </c>
      <c r="N18" s="2">
        <v>0.89700000000000002</v>
      </c>
      <c r="O18" s="2">
        <v>1.2270000000000001</v>
      </c>
      <c r="P18" s="2">
        <v>0.81499999999999995</v>
      </c>
      <c r="Q18" s="13">
        <v>0.97799999999999998</v>
      </c>
    </row>
    <row r="19" spans="1:17">
      <c r="A19" s="1" t="s">
        <v>12</v>
      </c>
      <c r="B19" s="2" t="s">
        <v>4</v>
      </c>
      <c r="C19" s="2" t="s">
        <v>8</v>
      </c>
      <c r="D19" s="2">
        <v>3</v>
      </c>
      <c r="E19" s="2" t="s">
        <v>77</v>
      </c>
      <c r="F19" s="2">
        <v>6</v>
      </c>
      <c r="G19" s="2" t="s">
        <v>109</v>
      </c>
      <c r="H19" s="2">
        <v>4060</v>
      </c>
      <c r="I19" s="2">
        <v>236.45099999999999</v>
      </c>
      <c r="J19" s="2">
        <v>1964</v>
      </c>
      <c r="K19" s="2">
        <v>1264</v>
      </c>
      <c r="L19" s="2">
        <v>72</v>
      </c>
      <c r="M19" s="2">
        <v>72</v>
      </c>
      <c r="N19" s="2">
        <v>0.91300000000000003</v>
      </c>
      <c r="O19" s="2">
        <v>1</v>
      </c>
      <c r="P19" s="2">
        <v>1</v>
      </c>
      <c r="Q19" s="13">
        <v>0.98099999999999998</v>
      </c>
    </row>
    <row r="20" spans="1:17">
      <c r="A20" s="1" t="s">
        <v>12</v>
      </c>
      <c r="B20" s="2" t="s">
        <v>4</v>
      </c>
      <c r="C20" s="2" t="s">
        <v>8</v>
      </c>
      <c r="D20" s="2">
        <v>4</v>
      </c>
      <c r="E20" s="2" t="s">
        <v>77</v>
      </c>
      <c r="F20" s="2">
        <v>1</v>
      </c>
      <c r="G20" s="2" t="s">
        <v>110</v>
      </c>
      <c r="H20" s="2">
        <v>1396</v>
      </c>
      <c r="I20" s="2">
        <v>137.53899999999999</v>
      </c>
      <c r="J20" s="2">
        <v>1684</v>
      </c>
      <c r="K20" s="2">
        <v>804</v>
      </c>
      <c r="L20" s="2">
        <v>42</v>
      </c>
      <c r="M20" s="2">
        <v>42</v>
      </c>
      <c r="N20" s="2">
        <v>0.92700000000000005</v>
      </c>
      <c r="O20" s="2">
        <v>1</v>
      </c>
      <c r="P20" s="2">
        <v>1</v>
      </c>
      <c r="Q20" s="13">
        <v>0.97199999999999998</v>
      </c>
    </row>
    <row r="21" spans="1:17">
      <c r="A21" s="1" t="s">
        <v>12</v>
      </c>
      <c r="B21" s="2" t="s">
        <v>4</v>
      </c>
      <c r="C21" s="2" t="s">
        <v>8</v>
      </c>
      <c r="D21" s="2">
        <v>4</v>
      </c>
      <c r="E21" s="2" t="s">
        <v>77</v>
      </c>
      <c r="F21" s="2">
        <v>2</v>
      </c>
      <c r="G21" s="2" t="s">
        <v>111</v>
      </c>
      <c r="H21" s="2">
        <v>5761</v>
      </c>
      <c r="I21" s="2">
        <v>288.04899999999998</v>
      </c>
      <c r="J21" s="2">
        <v>1739</v>
      </c>
      <c r="K21" s="2">
        <v>782</v>
      </c>
      <c r="L21" s="2">
        <v>88</v>
      </c>
      <c r="M21" s="2">
        <v>89</v>
      </c>
      <c r="N21" s="2">
        <v>0.873</v>
      </c>
      <c r="O21" s="2">
        <v>1.1379999999999999</v>
      </c>
      <c r="P21" s="2">
        <v>0.879</v>
      </c>
      <c r="Q21" s="13">
        <v>0.97199999999999998</v>
      </c>
    </row>
    <row r="22" spans="1:17">
      <c r="A22" s="1" t="s">
        <v>12</v>
      </c>
      <c r="B22" s="2" t="s">
        <v>4</v>
      </c>
      <c r="C22" s="2" t="s">
        <v>8</v>
      </c>
      <c r="D22" s="2">
        <v>4</v>
      </c>
      <c r="E22" s="2" t="s">
        <v>77</v>
      </c>
      <c r="F22" s="2">
        <v>3</v>
      </c>
      <c r="G22" s="2" t="s">
        <v>112</v>
      </c>
      <c r="H22" s="2">
        <v>4060</v>
      </c>
      <c r="I22" s="2">
        <v>236.45099999999999</v>
      </c>
      <c r="J22" s="2">
        <v>1593</v>
      </c>
      <c r="K22" s="2">
        <v>839</v>
      </c>
      <c r="L22" s="2">
        <v>72</v>
      </c>
      <c r="M22" s="2">
        <v>72</v>
      </c>
      <c r="N22" s="2">
        <v>0.91300000000000003</v>
      </c>
      <c r="O22" s="2">
        <v>1</v>
      </c>
      <c r="P22" s="2">
        <v>1</v>
      </c>
      <c r="Q22" s="13">
        <v>0.98099999999999998</v>
      </c>
    </row>
    <row r="23" spans="1:17">
      <c r="A23" s="1" t="s">
        <v>12</v>
      </c>
      <c r="B23" s="2" t="s">
        <v>4</v>
      </c>
      <c r="C23" s="2" t="s">
        <v>8</v>
      </c>
      <c r="D23" s="2">
        <v>4</v>
      </c>
      <c r="E23" s="2" t="s">
        <v>77</v>
      </c>
      <c r="F23" s="2">
        <v>4</v>
      </c>
      <c r="G23" s="2" t="s">
        <v>113</v>
      </c>
      <c r="H23" s="2">
        <v>2933</v>
      </c>
      <c r="I23" s="2">
        <v>201.82300000000001</v>
      </c>
      <c r="J23" s="2">
        <v>1813</v>
      </c>
      <c r="K23" s="2">
        <v>872</v>
      </c>
      <c r="L23" s="2">
        <v>61</v>
      </c>
      <c r="M23" s="2">
        <v>61</v>
      </c>
      <c r="N23" s="2">
        <v>0.90500000000000003</v>
      </c>
      <c r="O23" s="2">
        <v>1</v>
      </c>
      <c r="P23" s="2">
        <v>1</v>
      </c>
      <c r="Q23" s="13">
        <v>0.97499999999999998</v>
      </c>
    </row>
    <row r="24" spans="1:17">
      <c r="A24" s="1" t="s">
        <v>12</v>
      </c>
      <c r="B24" s="2" t="s">
        <v>4</v>
      </c>
      <c r="C24" s="2" t="s">
        <v>8</v>
      </c>
      <c r="D24" s="2">
        <v>4</v>
      </c>
      <c r="E24" s="2" t="s">
        <v>77</v>
      </c>
      <c r="F24" s="2">
        <v>5</v>
      </c>
      <c r="G24" s="2" t="s">
        <v>114</v>
      </c>
      <c r="H24" s="2">
        <v>2466</v>
      </c>
      <c r="I24" s="2">
        <v>188.995</v>
      </c>
      <c r="J24" s="2">
        <v>1806</v>
      </c>
      <c r="K24" s="2">
        <v>952</v>
      </c>
      <c r="L24" s="2">
        <v>62</v>
      </c>
      <c r="M24" s="2">
        <v>52</v>
      </c>
      <c r="N24" s="2">
        <v>0.86799999999999999</v>
      </c>
      <c r="O24" s="2">
        <v>1.294</v>
      </c>
      <c r="P24" s="2">
        <v>0.77300000000000002</v>
      </c>
      <c r="Q24" s="13">
        <v>0.96699999999999997</v>
      </c>
    </row>
    <row r="25" spans="1:17">
      <c r="A25" s="1" t="s">
        <v>12</v>
      </c>
      <c r="B25" s="2" t="s">
        <v>4</v>
      </c>
      <c r="C25" s="2" t="s">
        <v>8</v>
      </c>
      <c r="D25" s="2">
        <v>4</v>
      </c>
      <c r="E25" s="2" t="s">
        <v>77</v>
      </c>
      <c r="F25" s="16">
        <v>6</v>
      </c>
      <c r="G25" s="16" t="s">
        <v>115</v>
      </c>
      <c r="H25" s="16">
        <v>4197</v>
      </c>
      <c r="I25" s="16">
        <v>240.45099999999999</v>
      </c>
      <c r="J25" s="16">
        <v>1552</v>
      </c>
      <c r="K25" s="16">
        <v>948</v>
      </c>
      <c r="L25" s="16">
        <v>73</v>
      </c>
      <c r="M25" s="16">
        <v>73</v>
      </c>
      <c r="N25" s="16">
        <v>0.91200000000000003</v>
      </c>
      <c r="O25" s="16">
        <v>1</v>
      </c>
      <c r="P25" s="16">
        <v>1</v>
      </c>
      <c r="Q25" s="17">
        <v>0.98099999999999998</v>
      </c>
    </row>
    <row r="26" spans="1:17">
      <c r="A26" s="1" t="s">
        <v>12</v>
      </c>
      <c r="B26" s="2" t="s">
        <v>4</v>
      </c>
      <c r="C26" s="2" t="s">
        <v>8</v>
      </c>
      <c r="D26" s="2">
        <v>4</v>
      </c>
      <c r="E26" s="2" t="s">
        <v>77</v>
      </c>
      <c r="F26" s="2">
        <v>7</v>
      </c>
      <c r="G26" s="2" t="s">
        <v>116</v>
      </c>
      <c r="H26" s="2">
        <v>2669</v>
      </c>
      <c r="I26" s="2">
        <v>193.58099999999999</v>
      </c>
      <c r="J26" s="2">
        <v>1760</v>
      </c>
      <c r="K26" s="2">
        <v>1013</v>
      </c>
      <c r="L26" s="2">
        <v>62</v>
      </c>
      <c r="M26" s="2">
        <v>55</v>
      </c>
      <c r="N26" s="2">
        <v>0.89500000000000002</v>
      </c>
      <c r="O26" s="2">
        <v>1.1739999999999999</v>
      </c>
      <c r="P26" s="2">
        <v>0.85199999999999998</v>
      </c>
      <c r="Q26" s="13">
        <v>0.97399999999999998</v>
      </c>
    </row>
    <row r="27" spans="1:17">
      <c r="A27" s="1" t="s">
        <v>12</v>
      </c>
      <c r="B27" s="2" t="s">
        <v>4</v>
      </c>
      <c r="C27" s="2" t="s">
        <v>8</v>
      </c>
      <c r="D27" s="2">
        <v>4</v>
      </c>
      <c r="E27" s="2" t="s">
        <v>77</v>
      </c>
      <c r="F27" s="2">
        <v>8</v>
      </c>
      <c r="G27" s="2" t="s">
        <v>117</v>
      </c>
      <c r="H27" s="2">
        <v>3313</v>
      </c>
      <c r="I27" s="2">
        <v>213.137</v>
      </c>
      <c r="J27" s="2">
        <v>1680</v>
      </c>
      <c r="K27" s="2">
        <v>1027</v>
      </c>
      <c r="L27" s="2">
        <v>65</v>
      </c>
      <c r="M27" s="2">
        <v>65</v>
      </c>
      <c r="N27" s="2">
        <v>0.91600000000000004</v>
      </c>
      <c r="O27" s="2">
        <v>1</v>
      </c>
      <c r="P27" s="2">
        <v>1</v>
      </c>
      <c r="Q27" s="13">
        <v>0.97899999999999998</v>
      </c>
    </row>
    <row r="28" spans="1:17">
      <c r="A28" s="1" t="s">
        <v>12</v>
      </c>
      <c r="B28" s="2" t="s">
        <v>4</v>
      </c>
      <c r="C28" s="2" t="s">
        <v>8</v>
      </c>
      <c r="D28" s="2">
        <v>4</v>
      </c>
      <c r="E28" s="2" t="s">
        <v>77</v>
      </c>
      <c r="F28" s="2">
        <v>9</v>
      </c>
      <c r="G28" s="2" t="s">
        <v>118</v>
      </c>
      <c r="H28" s="2">
        <v>2128</v>
      </c>
      <c r="I28" s="2">
        <v>170.51</v>
      </c>
      <c r="J28" s="2">
        <v>1613</v>
      </c>
      <c r="K28" s="2">
        <v>1043</v>
      </c>
      <c r="L28" s="2">
        <v>52</v>
      </c>
      <c r="M28" s="2">
        <v>52</v>
      </c>
      <c r="N28" s="2">
        <v>0.92</v>
      </c>
      <c r="O28" s="2">
        <v>1</v>
      </c>
      <c r="P28" s="2">
        <v>1</v>
      </c>
      <c r="Q28" s="13">
        <v>0.97499999999999998</v>
      </c>
    </row>
    <row r="29" spans="1:17">
      <c r="A29" s="1" t="s">
        <v>12</v>
      </c>
      <c r="B29" s="2" t="s">
        <v>4</v>
      </c>
      <c r="C29" s="2" t="s">
        <v>8</v>
      </c>
      <c r="D29" s="2">
        <v>5</v>
      </c>
      <c r="E29" s="2" t="s">
        <v>77</v>
      </c>
      <c r="F29" s="2">
        <v>1</v>
      </c>
      <c r="G29" s="2" t="s">
        <v>119</v>
      </c>
      <c r="H29" s="2">
        <v>5544</v>
      </c>
      <c r="I29" s="2">
        <v>280.00700000000001</v>
      </c>
      <c r="J29" s="2">
        <v>1531</v>
      </c>
      <c r="K29" s="2">
        <v>782</v>
      </c>
      <c r="L29" s="2">
        <v>86</v>
      </c>
      <c r="M29" s="2">
        <v>83</v>
      </c>
      <c r="N29" s="2">
        <v>0.88900000000000001</v>
      </c>
      <c r="O29" s="2">
        <v>1.161</v>
      </c>
      <c r="P29" s="2">
        <v>0.86099999999999999</v>
      </c>
      <c r="Q29" s="13">
        <v>0.97899999999999998</v>
      </c>
    </row>
    <row r="30" spans="1:17">
      <c r="A30" s="1" t="s">
        <v>12</v>
      </c>
      <c r="B30" s="2" t="s">
        <v>4</v>
      </c>
      <c r="C30" s="2" t="s">
        <v>8</v>
      </c>
      <c r="D30" s="2">
        <v>5</v>
      </c>
      <c r="E30" s="2" t="s">
        <v>77</v>
      </c>
      <c r="F30" s="2">
        <v>2</v>
      </c>
      <c r="G30" s="2" t="s">
        <v>120</v>
      </c>
      <c r="H30" s="2">
        <v>4147</v>
      </c>
      <c r="I30" s="2">
        <v>243.179</v>
      </c>
      <c r="J30" s="2">
        <v>1418</v>
      </c>
      <c r="K30" s="2">
        <v>809</v>
      </c>
      <c r="L30" s="2">
        <v>77</v>
      </c>
      <c r="M30" s="2">
        <v>73</v>
      </c>
      <c r="N30" s="2">
        <v>0.88100000000000001</v>
      </c>
      <c r="O30" s="2">
        <v>1.2909999999999999</v>
      </c>
      <c r="P30" s="2">
        <v>0.77500000000000002</v>
      </c>
      <c r="Q30" s="13">
        <v>0.97399999999999998</v>
      </c>
    </row>
    <row r="31" spans="1:17">
      <c r="A31" s="1" t="s">
        <v>12</v>
      </c>
      <c r="B31" s="2" t="s">
        <v>4</v>
      </c>
      <c r="C31" s="2" t="s">
        <v>8</v>
      </c>
      <c r="D31" s="2">
        <v>5</v>
      </c>
      <c r="E31" s="2" t="s">
        <v>77</v>
      </c>
      <c r="F31" s="2">
        <v>3</v>
      </c>
      <c r="G31" s="2" t="s">
        <v>121</v>
      </c>
      <c r="H31" s="2">
        <v>6008</v>
      </c>
      <c r="I31" s="2">
        <v>292.291</v>
      </c>
      <c r="J31" s="2">
        <v>1620</v>
      </c>
      <c r="K31" s="2">
        <v>857</v>
      </c>
      <c r="L31" s="2">
        <v>93</v>
      </c>
      <c r="M31" s="2">
        <v>88</v>
      </c>
      <c r="N31" s="2">
        <v>0.88400000000000001</v>
      </c>
      <c r="O31" s="2">
        <v>1.1100000000000001</v>
      </c>
      <c r="P31" s="2">
        <v>0.90100000000000002</v>
      </c>
      <c r="Q31" s="13">
        <v>0.97699999999999998</v>
      </c>
    </row>
    <row r="32" spans="1:17">
      <c r="A32" s="1" t="s">
        <v>12</v>
      </c>
      <c r="B32" s="2" t="s">
        <v>4</v>
      </c>
      <c r="C32" s="2" t="s">
        <v>8</v>
      </c>
      <c r="D32" s="2">
        <v>5</v>
      </c>
      <c r="E32" s="2" t="s">
        <v>77</v>
      </c>
      <c r="F32" s="2">
        <v>4</v>
      </c>
      <c r="G32" s="2" t="s">
        <v>122</v>
      </c>
      <c r="H32" s="2">
        <v>5118</v>
      </c>
      <c r="I32" s="2">
        <v>278.35000000000002</v>
      </c>
      <c r="J32" s="2">
        <v>1384</v>
      </c>
      <c r="K32" s="2">
        <v>884</v>
      </c>
      <c r="L32" s="2">
        <v>94</v>
      </c>
      <c r="M32" s="2">
        <v>69</v>
      </c>
      <c r="N32" s="2">
        <v>0.83</v>
      </c>
      <c r="O32" s="2">
        <v>1.4370000000000001</v>
      </c>
      <c r="P32" s="2">
        <v>0.69599999999999995</v>
      </c>
      <c r="Q32" s="13">
        <v>0.96699999999999997</v>
      </c>
    </row>
    <row r="33" spans="1:17">
      <c r="A33" s="1" t="s">
        <v>12</v>
      </c>
      <c r="B33" s="2" t="s">
        <v>4</v>
      </c>
      <c r="C33" s="2" t="s">
        <v>8</v>
      </c>
      <c r="D33" s="2">
        <v>5</v>
      </c>
      <c r="E33" s="2" t="s">
        <v>77</v>
      </c>
      <c r="F33" s="2">
        <v>5</v>
      </c>
      <c r="G33" s="2" t="s">
        <v>123</v>
      </c>
      <c r="H33" s="2">
        <v>5141</v>
      </c>
      <c r="I33" s="2">
        <v>270.73500000000001</v>
      </c>
      <c r="J33" s="2">
        <v>1361</v>
      </c>
      <c r="K33" s="2">
        <v>973</v>
      </c>
      <c r="L33" s="2">
        <v>89</v>
      </c>
      <c r="M33" s="2">
        <v>78</v>
      </c>
      <c r="N33" s="2">
        <v>0.88100000000000001</v>
      </c>
      <c r="O33" s="2">
        <v>1.234</v>
      </c>
      <c r="P33" s="2">
        <v>0.81</v>
      </c>
      <c r="Q33" s="13">
        <v>0.97399999999999998</v>
      </c>
    </row>
    <row r="34" spans="1:17">
      <c r="A34" s="1" t="s">
        <v>12</v>
      </c>
      <c r="B34" s="2" t="s">
        <v>4</v>
      </c>
      <c r="C34" s="2" t="s">
        <v>8</v>
      </c>
      <c r="D34" s="2">
        <v>5</v>
      </c>
      <c r="E34" s="2" t="s">
        <v>77</v>
      </c>
      <c r="F34" s="2">
        <v>6</v>
      </c>
      <c r="G34" s="2" t="s">
        <v>124</v>
      </c>
      <c r="H34" s="2">
        <v>4010</v>
      </c>
      <c r="I34" s="2">
        <v>249.179</v>
      </c>
      <c r="J34" s="2">
        <v>1663</v>
      </c>
      <c r="K34" s="2">
        <v>973</v>
      </c>
      <c r="L34" s="2">
        <v>67</v>
      </c>
      <c r="M34" s="2">
        <v>82</v>
      </c>
      <c r="N34" s="2">
        <v>0.81200000000000006</v>
      </c>
      <c r="O34" s="2">
        <v>1.399</v>
      </c>
      <c r="P34" s="2">
        <v>0.71499999999999997</v>
      </c>
      <c r="Q34" s="13">
        <v>0.95599999999999996</v>
      </c>
    </row>
    <row r="35" spans="1:17">
      <c r="A35" s="1" t="s">
        <v>12</v>
      </c>
      <c r="B35" s="2" t="s">
        <v>4</v>
      </c>
      <c r="C35" s="2" t="s">
        <v>8</v>
      </c>
      <c r="D35" s="2">
        <v>5</v>
      </c>
      <c r="E35" s="2" t="s">
        <v>77</v>
      </c>
      <c r="F35" s="16">
        <v>7</v>
      </c>
      <c r="G35" s="16" t="s">
        <v>125</v>
      </c>
      <c r="H35" s="16">
        <v>1597</v>
      </c>
      <c r="I35" s="16">
        <v>147.196</v>
      </c>
      <c r="J35" s="16">
        <v>1628</v>
      </c>
      <c r="K35" s="16">
        <v>1061</v>
      </c>
      <c r="L35" s="16">
        <v>45</v>
      </c>
      <c r="M35" s="16">
        <v>45</v>
      </c>
      <c r="N35" s="16">
        <v>0.92600000000000005</v>
      </c>
      <c r="O35" s="16">
        <v>1</v>
      </c>
      <c r="P35" s="16">
        <v>1</v>
      </c>
      <c r="Q35" s="17">
        <v>0.97199999999999998</v>
      </c>
    </row>
    <row r="36" spans="1:17">
      <c r="A36" s="1" t="s">
        <v>12</v>
      </c>
      <c r="B36" s="2" t="s">
        <v>4</v>
      </c>
      <c r="C36" s="2" t="s">
        <v>8</v>
      </c>
      <c r="D36" s="2">
        <v>5</v>
      </c>
      <c r="E36" s="2" t="s">
        <v>77</v>
      </c>
      <c r="F36" s="2">
        <v>8</v>
      </c>
      <c r="G36" s="2" t="s">
        <v>126</v>
      </c>
      <c r="H36" s="2">
        <v>3313</v>
      </c>
      <c r="I36" s="2">
        <v>213.137</v>
      </c>
      <c r="J36" s="2">
        <v>1419</v>
      </c>
      <c r="K36" s="2">
        <v>1048</v>
      </c>
      <c r="L36" s="2">
        <v>65</v>
      </c>
      <c r="M36" s="2">
        <v>65</v>
      </c>
      <c r="N36" s="2">
        <v>0.91600000000000004</v>
      </c>
      <c r="O36" s="2">
        <v>1</v>
      </c>
      <c r="P36" s="2">
        <v>1</v>
      </c>
      <c r="Q36" s="13">
        <v>0.97899999999999998</v>
      </c>
    </row>
    <row r="37" spans="1:17">
      <c r="A37" s="1" t="s">
        <v>12</v>
      </c>
      <c r="B37" s="2" t="s">
        <v>4</v>
      </c>
      <c r="C37" s="2" t="s">
        <v>8</v>
      </c>
      <c r="D37" s="2">
        <v>5</v>
      </c>
      <c r="E37" s="2" t="s">
        <v>77</v>
      </c>
      <c r="F37" s="2">
        <v>9</v>
      </c>
      <c r="G37" s="2" t="s">
        <v>127</v>
      </c>
      <c r="H37" s="2">
        <v>4369</v>
      </c>
      <c r="I37" s="2">
        <v>247.321</v>
      </c>
      <c r="J37" s="2">
        <v>1496</v>
      </c>
      <c r="K37" s="2">
        <v>1079</v>
      </c>
      <c r="L37" s="2">
        <v>79</v>
      </c>
      <c r="M37" s="2">
        <v>76</v>
      </c>
      <c r="N37" s="2">
        <v>0.89800000000000002</v>
      </c>
      <c r="O37" s="2">
        <v>1.228</v>
      </c>
      <c r="P37" s="2">
        <v>0.81499999999999995</v>
      </c>
      <c r="Q37" s="13">
        <v>0.97699999999999998</v>
      </c>
    </row>
    <row r="38" spans="1:17">
      <c r="A38" s="1" t="s">
        <v>12</v>
      </c>
      <c r="B38" s="2" t="s">
        <v>4</v>
      </c>
      <c r="C38" s="2" t="s">
        <v>8</v>
      </c>
      <c r="D38" s="2">
        <v>6</v>
      </c>
      <c r="E38" s="2" t="s">
        <v>77</v>
      </c>
      <c r="F38" s="2">
        <v>1</v>
      </c>
      <c r="G38" s="2" t="s">
        <v>128</v>
      </c>
      <c r="H38" s="2">
        <v>4885</v>
      </c>
      <c r="I38" s="2">
        <v>265.76499999999999</v>
      </c>
      <c r="J38" s="2">
        <v>1951</v>
      </c>
      <c r="K38" s="2">
        <v>1026</v>
      </c>
      <c r="L38" s="2">
        <v>74</v>
      </c>
      <c r="M38" s="2">
        <v>87</v>
      </c>
      <c r="N38" s="2">
        <v>0.86899999999999999</v>
      </c>
      <c r="O38" s="2">
        <v>1.2170000000000001</v>
      </c>
      <c r="P38" s="2">
        <v>0.82199999999999995</v>
      </c>
      <c r="Q38" s="13">
        <v>0.97299999999999998</v>
      </c>
    </row>
    <row r="39" spans="1:17">
      <c r="A39" s="1" t="s">
        <v>12</v>
      </c>
      <c r="B39" s="2" t="s">
        <v>4</v>
      </c>
      <c r="C39" s="2" t="s">
        <v>8</v>
      </c>
      <c r="D39" s="2">
        <v>6</v>
      </c>
      <c r="E39" s="2" t="s">
        <v>77</v>
      </c>
      <c r="F39" s="2">
        <v>2</v>
      </c>
      <c r="G39" s="2" t="s">
        <v>129</v>
      </c>
      <c r="H39" s="2">
        <v>4497</v>
      </c>
      <c r="I39" s="2">
        <v>254.93600000000001</v>
      </c>
      <c r="J39" s="2">
        <v>1850</v>
      </c>
      <c r="K39" s="2">
        <v>1045</v>
      </c>
      <c r="L39" s="2">
        <v>72</v>
      </c>
      <c r="M39" s="2">
        <v>82</v>
      </c>
      <c r="N39" s="2">
        <v>0.87</v>
      </c>
      <c r="O39" s="2">
        <v>1.302</v>
      </c>
      <c r="P39" s="2">
        <v>0.76800000000000002</v>
      </c>
      <c r="Q39" s="13">
        <v>0.97499999999999998</v>
      </c>
    </row>
    <row r="40" spans="1:17">
      <c r="A40" s="1" t="s">
        <v>12</v>
      </c>
      <c r="B40" s="2" t="s">
        <v>4</v>
      </c>
      <c r="C40" s="2" t="s">
        <v>8</v>
      </c>
      <c r="D40" s="2">
        <v>6</v>
      </c>
      <c r="E40" s="2" t="s">
        <v>77</v>
      </c>
      <c r="F40" s="2">
        <v>3</v>
      </c>
      <c r="G40" s="2" t="s">
        <v>130</v>
      </c>
      <c r="H40" s="2">
        <v>5169</v>
      </c>
      <c r="I40" s="2">
        <v>267.76499999999999</v>
      </c>
      <c r="J40" s="2">
        <v>2085</v>
      </c>
      <c r="K40" s="2">
        <v>1079</v>
      </c>
      <c r="L40" s="2">
        <v>81</v>
      </c>
      <c r="M40" s="2">
        <v>81</v>
      </c>
      <c r="N40" s="2">
        <v>0.90600000000000003</v>
      </c>
      <c r="O40" s="2">
        <v>1</v>
      </c>
      <c r="P40" s="2">
        <v>1</v>
      </c>
      <c r="Q40" s="13">
        <v>0.98099999999999998</v>
      </c>
    </row>
    <row r="41" spans="1:17">
      <c r="A41" s="1" t="s">
        <v>12</v>
      </c>
      <c r="B41" s="2" t="s">
        <v>4</v>
      </c>
      <c r="C41" s="2" t="s">
        <v>8</v>
      </c>
      <c r="D41" s="2">
        <v>6</v>
      </c>
      <c r="E41" s="2" t="s">
        <v>77</v>
      </c>
      <c r="F41" s="16">
        <v>4</v>
      </c>
      <c r="G41" s="16" t="s">
        <v>131</v>
      </c>
      <c r="H41" s="16">
        <v>4669</v>
      </c>
      <c r="I41" s="16">
        <v>260.93599999999998</v>
      </c>
      <c r="J41" s="16">
        <v>1813</v>
      </c>
      <c r="K41" s="16">
        <v>1138</v>
      </c>
      <c r="L41" s="16">
        <v>82</v>
      </c>
      <c r="M41" s="16">
        <v>75</v>
      </c>
      <c r="N41" s="16">
        <v>0.86199999999999999</v>
      </c>
      <c r="O41" s="16">
        <v>1.155</v>
      </c>
      <c r="P41" s="16">
        <v>0.86599999999999999</v>
      </c>
      <c r="Q41" s="17">
        <v>0.97</v>
      </c>
    </row>
    <row r="42" spans="1:17">
      <c r="A42" s="1" t="s">
        <v>12</v>
      </c>
      <c r="B42" s="2" t="s">
        <v>4</v>
      </c>
      <c r="C42" s="2" t="s">
        <v>8</v>
      </c>
      <c r="D42" s="2">
        <v>6</v>
      </c>
      <c r="E42" s="2" t="s">
        <v>77</v>
      </c>
      <c r="F42" s="2">
        <v>5</v>
      </c>
      <c r="G42" s="2" t="s">
        <v>132</v>
      </c>
      <c r="H42" s="2">
        <v>2924</v>
      </c>
      <c r="I42" s="2">
        <v>202.75200000000001</v>
      </c>
      <c r="J42" s="2">
        <v>2110</v>
      </c>
      <c r="K42" s="2">
        <v>1209</v>
      </c>
      <c r="L42" s="2">
        <v>66</v>
      </c>
      <c r="M42" s="2">
        <v>55</v>
      </c>
      <c r="N42" s="2">
        <v>0.89400000000000002</v>
      </c>
      <c r="O42" s="2">
        <v>1.2110000000000001</v>
      </c>
      <c r="P42" s="2">
        <v>0.82599999999999996</v>
      </c>
      <c r="Q42" s="13">
        <v>0.97499999999999998</v>
      </c>
    </row>
    <row r="43" spans="1:17">
      <c r="A43" s="1" t="s">
        <v>12</v>
      </c>
      <c r="B43" s="2" t="s">
        <v>4</v>
      </c>
      <c r="C43" s="2" t="s">
        <v>8</v>
      </c>
      <c r="D43" s="2">
        <v>6</v>
      </c>
      <c r="E43" s="2" t="s">
        <v>77</v>
      </c>
      <c r="F43" s="2">
        <v>6</v>
      </c>
      <c r="G43" s="2" t="s">
        <v>133</v>
      </c>
      <c r="H43" s="2">
        <v>5808</v>
      </c>
      <c r="I43" s="2">
        <v>283.07799999999997</v>
      </c>
      <c r="J43" s="2">
        <v>1820</v>
      </c>
      <c r="K43" s="2">
        <v>1248</v>
      </c>
      <c r="L43" s="2">
        <v>86</v>
      </c>
      <c r="M43" s="2">
        <v>86</v>
      </c>
      <c r="N43" s="2">
        <v>0.91100000000000003</v>
      </c>
      <c r="O43" s="2">
        <v>1</v>
      </c>
      <c r="P43" s="2">
        <v>1</v>
      </c>
      <c r="Q43" s="13">
        <v>0.98299999999999998</v>
      </c>
    </row>
    <row r="44" spans="1:17">
      <c r="A44" s="1" t="s">
        <v>12</v>
      </c>
      <c r="B44" s="2" t="s">
        <v>4</v>
      </c>
      <c r="C44" s="2" t="s">
        <v>8</v>
      </c>
      <c r="D44" s="2">
        <v>6</v>
      </c>
      <c r="E44" s="2" t="s">
        <v>77</v>
      </c>
      <c r="F44" s="2">
        <v>7</v>
      </c>
      <c r="G44" s="2" t="s">
        <v>134</v>
      </c>
      <c r="H44" s="2">
        <v>4472</v>
      </c>
      <c r="I44" s="2">
        <v>254.83600000000001</v>
      </c>
      <c r="J44" s="2">
        <v>2051</v>
      </c>
      <c r="K44" s="2">
        <v>1256</v>
      </c>
      <c r="L44" s="2">
        <v>76</v>
      </c>
      <c r="M44" s="2">
        <v>81</v>
      </c>
      <c r="N44" s="2">
        <v>0.86499999999999999</v>
      </c>
      <c r="O44" s="2">
        <v>1.3520000000000001</v>
      </c>
      <c r="P44" s="2">
        <v>0.74</v>
      </c>
      <c r="Q44" s="13">
        <v>0.97099999999999997</v>
      </c>
    </row>
    <row r="45" spans="1:17">
      <c r="A45" s="1" t="s">
        <v>12</v>
      </c>
      <c r="B45" s="2" t="s">
        <v>4</v>
      </c>
      <c r="C45" s="2" t="s">
        <v>8</v>
      </c>
      <c r="D45" s="2">
        <v>6</v>
      </c>
      <c r="E45" s="2" t="s">
        <v>77</v>
      </c>
      <c r="F45" s="2">
        <v>8</v>
      </c>
      <c r="G45" s="2" t="s">
        <v>135</v>
      </c>
      <c r="H45" s="2">
        <v>4201</v>
      </c>
      <c r="I45" s="2">
        <v>252.59299999999999</v>
      </c>
      <c r="J45" s="2">
        <v>1990</v>
      </c>
      <c r="K45" s="2">
        <v>1308</v>
      </c>
      <c r="L45" s="2">
        <v>65</v>
      </c>
      <c r="M45" s="2">
        <v>88</v>
      </c>
      <c r="N45" s="2">
        <v>0.82699999999999996</v>
      </c>
      <c r="O45" s="2">
        <v>1.413</v>
      </c>
      <c r="P45" s="2">
        <v>0.70799999999999996</v>
      </c>
      <c r="Q45" s="13">
        <v>0.96799999999999997</v>
      </c>
    </row>
    <row r="46" spans="1:17">
      <c r="A46" s="1" t="s">
        <v>12</v>
      </c>
      <c r="B46" s="2" t="s">
        <v>4</v>
      </c>
      <c r="C46" s="2" t="s">
        <v>8</v>
      </c>
      <c r="D46" s="2">
        <v>6</v>
      </c>
      <c r="E46" s="2" t="s">
        <v>77</v>
      </c>
      <c r="F46" s="2">
        <v>9</v>
      </c>
      <c r="G46" s="2" t="s">
        <v>136</v>
      </c>
      <c r="H46" s="2">
        <v>4774</v>
      </c>
      <c r="I46" s="2">
        <v>262.45100000000002</v>
      </c>
      <c r="J46" s="2">
        <v>1904</v>
      </c>
      <c r="K46" s="2">
        <v>1313</v>
      </c>
      <c r="L46" s="2">
        <v>70</v>
      </c>
      <c r="M46" s="2">
        <v>87</v>
      </c>
      <c r="N46" s="2">
        <v>0.871</v>
      </c>
      <c r="O46" s="2">
        <v>1.274</v>
      </c>
      <c r="P46" s="2">
        <v>0.78500000000000003</v>
      </c>
      <c r="Q46" s="13">
        <v>0.97399999999999998</v>
      </c>
    </row>
    <row r="47" spans="1:17">
      <c r="A47" s="1" t="s">
        <v>12</v>
      </c>
      <c r="B47" s="2" t="s">
        <v>4</v>
      </c>
      <c r="C47" s="2" t="s">
        <v>8</v>
      </c>
      <c r="D47" s="2">
        <v>7</v>
      </c>
      <c r="E47" s="2" t="s">
        <v>77</v>
      </c>
      <c r="F47" s="2">
        <v>1</v>
      </c>
      <c r="G47" s="2" t="s">
        <v>137</v>
      </c>
      <c r="H47" s="2">
        <v>4517</v>
      </c>
      <c r="I47" s="2">
        <v>251.03700000000001</v>
      </c>
      <c r="J47" s="2">
        <v>1935</v>
      </c>
      <c r="K47" s="2">
        <v>891</v>
      </c>
      <c r="L47" s="2">
        <v>75</v>
      </c>
      <c r="M47" s="2">
        <v>76</v>
      </c>
      <c r="N47" s="2">
        <v>0.90100000000000002</v>
      </c>
      <c r="O47" s="2">
        <v>1.077</v>
      </c>
      <c r="P47" s="2">
        <v>0.92900000000000005</v>
      </c>
      <c r="Q47" s="13">
        <v>0.98</v>
      </c>
    </row>
    <row r="48" spans="1:17">
      <c r="A48" s="1" t="s">
        <v>12</v>
      </c>
      <c r="B48" s="2" t="s">
        <v>4</v>
      </c>
      <c r="C48" s="2" t="s">
        <v>8</v>
      </c>
      <c r="D48" s="2">
        <v>7</v>
      </c>
      <c r="E48" s="2" t="s">
        <v>77</v>
      </c>
      <c r="F48" s="2">
        <v>2</v>
      </c>
      <c r="G48" s="2" t="s">
        <v>138</v>
      </c>
      <c r="H48" s="2">
        <v>4678</v>
      </c>
      <c r="I48" s="2">
        <v>261.66399999999999</v>
      </c>
      <c r="J48" s="2">
        <v>2024</v>
      </c>
      <c r="K48" s="2">
        <v>920</v>
      </c>
      <c r="L48" s="2">
        <v>81</v>
      </c>
      <c r="M48" s="2">
        <v>80</v>
      </c>
      <c r="N48" s="2">
        <v>0.85899999999999999</v>
      </c>
      <c r="O48" s="2">
        <v>1.3109999999999999</v>
      </c>
      <c r="P48" s="2">
        <v>0.76300000000000001</v>
      </c>
      <c r="Q48" s="13">
        <v>0.96799999999999997</v>
      </c>
    </row>
    <row r="49" spans="1:17">
      <c r="A49" s="1" t="s">
        <v>12</v>
      </c>
      <c r="B49" s="2" t="s">
        <v>4</v>
      </c>
      <c r="C49" s="2" t="s">
        <v>8</v>
      </c>
      <c r="D49" s="2">
        <v>7</v>
      </c>
      <c r="E49" s="2" t="s">
        <v>77</v>
      </c>
      <c r="F49" s="2">
        <v>3</v>
      </c>
      <c r="G49" s="2" t="s">
        <v>139</v>
      </c>
      <c r="H49" s="2">
        <v>5469</v>
      </c>
      <c r="I49" s="2">
        <v>282.49200000000002</v>
      </c>
      <c r="J49" s="2">
        <v>1845</v>
      </c>
      <c r="K49" s="2">
        <v>953</v>
      </c>
      <c r="L49" s="2">
        <v>90</v>
      </c>
      <c r="M49" s="2">
        <v>81</v>
      </c>
      <c r="N49" s="2">
        <v>0.86099999999999999</v>
      </c>
      <c r="O49" s="2">
        <v>1.3089999999999999</v>
      </c>
      <c r="P49" s="2">
        <v>0.76400000000000001</v>
      </c>
      <c r="Q49" s="13">
        <v>0.97099999999999997</v>
      </c>
    </row>
    <row r="50" spans="1:17">
      <c r="A50" s="1" t="s">
        <v>12</v>
      </c>
      <c r="B50" s="2" t="s">
        <v>4</v>
      </c>
      <c r="C50" s="2" t="s">
        <v>8</v>
      </c>
      <c r="D50" s="2">
        <v>7</v>
      </c>
      <c r="E50" s="2" t="s">
        <v>77</v>
      </c>
      <c r="F50" s="16">
        <v>4</v>
      </c>
      <c r="G50" s="16" t="s">
        <v>140</v>
      </c>
      <c r="H50" s="16">
        <v>4669</v>
      </c>
      <c r="I50" s="16">
        <v>257.76499999999999</v>
      </c>
      <c r="J50" s="16">
        <v>2103</v>
      </c>
      <c r="K50" s="16">
        <v>984</v>
      </c>
      <c r="L50" s="16">
        <v>84</v>
      </c>
      <c r="M50" s="16">
        <v>73</v>
      </c>
      <c r="N50" s="16">
        <v>0.88300000000000001</v>
      </c>
      <c r="O50" s="16">
        <v>1.175</v>
      </c>
      <c r="P50" s="16">
        <v>0.85099999999999998</v>
      </c>
      <c r="Q50" s="17">
        <v>0.97699999999999998</v>
      </c>
    </row>
    <row r="51" spans="1:17">
      <c r="A51" s="1" t="s">
        <v>12</v>
      </c>
      <c r="B51" s="2" t="s">
        <v>4</v>
      </c>
      <c r="C51" s="2" t="s">
        <v>8</v>
      </c>
      <c r="D51" s="2">
        <v>7</v>
      </c>
      <c r="E51" s="2" t="s">
        <v>77</v>
      </c>
      <c r="F51" s="2">
        <v>5</v>
      </c>
      <c r="G51" s="2" t="s">
        <v>141</v>
      </c>
      <c r="H51" s="2">
        <v>1528</v>
      </c>
      <c r="I51" s="2">
        <v>145.53899999999999</v>
      </c>
      <c r="J51" s="2">
        <v>2132</v>
      </c>
      <c r="K51" s="2">
        <v>1092</v>
      </c>
      <c r="L51" s="2">
        <v>44</v>
      </c>
      <c r="M51" s="2">
        <v>44</v>
      </c>
      <c r="N51" s="2">
        <v>0.90700000000000003</v>
      </c>
      <c r="O51" s="2">
        <v>1</v>
      </c>
      <c r="P51" s="2">
        <v>1</v>
      </c>
      <c r="Q51" s="13">
        <v>0.97</v>
      </c>
    </row>
    <row r="52" spans="1:17">
      <c r="A52" s="1" t="s">
        <v>12</v>
      </c>
      <c r="B52" s="2" t="s">
        <v>4</v>
      </c>
      <c r="C52" s="2" t="s">
        <v>8</v>
      </c>
      <c r="D52" s="2">
        <v>7</v>
      </c>
      <c r="E52" s="2" t="s">
        <v>77</v>
      </c>
      <c r="F52" s="2">
        <v>6</v>
      </c>
      <c r="G52" s="2" t="s">
        <v>142</v>
      </c>
      <c r="H52" s="2">
        <v>4236</v>
      </c>
      <c r="I52" s="2">
        <v>245.179</v>
      </c>
      <c r="J52" s="2">
        <v>1798</v>
      </c>
      <c r="K52" s="2">
        <v>1082</v>
      </c>
      <c r="L52" s="2">
        <v>80</v>
      </c>
      <c r="M52" s="2">
        <v>71</v>
      </c>
      <c r="N52" s="2">
        <v>0.88600000000000001</v>
      </c>
      <c r="O52" s="2">
        <v>1.1180000000000001</v>
      </c>
      <c r="P52" s="2">
        <v>0.89400000000000002</v>
      </c>
      <c r="Q52" s="13">
        <v>0.97499999999999998</v>
      </c>
    </row>
    <row r="53" spans="1:17">
      <c r="A53" s="1" t="s">
        <v>12</v>
      </c>
      <c r="B53" s="2" t="s">
        <v>4</v>
      </c>
      <c r="C53" s="2" t="s">
        <v>8</v>
      </c>
      <c r="D53" s="2">
        <v>7</v>
      </c>
      <c r="E53" s="2" t="s">
        <v>77</v>
      </c>
      <c r="F53" s="2">
        <v>7</v>
      </c>
      <c r="G53" s="2" t="s">
        <v>143</v>
      </c>
      <c r="H53" s="2">
        <v>3844</v>
      </c>
      <c r="I53" s="2">
        <v>232.108</v>
      </c>
      <c r="J53" s="2">
        <v>2070</v>
      </c>
      <c r="K53" s="2">
        <v>1136</v>
      </c>
      <c r="L53" s="2">
        <v>70</v>
      </c>
      <c r="M53" s="2">
        <v>73</v>
      </c>
      <c r="N53" s="2">
        <v>0.89700000000000002</v>
      </c>
      <c r="O53" s="2">
        <v>1.214</v>
      </c>
      <c r="P53" s="2">
        <v>0.82399999999999995</v>
      </c>
      <c r="Q53" s="13">
        <v>0.97799999999999998</v>
      </c>
    </row>
    <row r="54" spans="1:17">
      <c r="A54" s="1" t="s">
        <v>12</v>
      </c>
      <c r="B54" s="2" t="s">
        <v>4</v>
      </c>
      <c r="C54" s="2" t="s">
        <v>8</v>
      </c>
      <c r="D54" s="2">
        <v>7</v>
      </c>
      <c r="E54" s="2" t="s">
        <v>77</v>
      </c>
      <c r="F54" s="2">
        <v>8</v>
      </c>
      <c r="G54" s="2" t="s">
        <v>144</v>
      </c>
      <c r="H54" s="2">
        <v>2840</v>
      </c>
      <c r="I54" s="2">
        <v>199.82300000000001</v>
      </c>
      <c r="J54" s="2">
        <v>1833</v>
      </c>
      <c r="K54" s="2">
        <v>1170</v>
      </c>
      <c r="L54" s="2">
        <v>58</v>
      </c>
      <c r="M54" s="2">
        <v>62</v>
      </c>
      <c r="N54" s="2">
        <v>0.89400000000000002</v>
      </c>
      <c r="O54" s="2">
        <v>1.1220000000000001</v>
      </c>
      <c r="P54" s="2">
        <v>0.89100000000000001</v>
      </c>
      <c r="Q54" s="13">
        <v>0.97399999999999998</v>
      </c>
    </row>
    <row r="55" spans="1:17">
      <c r="A55" s="1" t="s">
        <v>12</v>
      </c>
      <c r="B55" s="2" t="s">
        <v>4</v>
      </c>
      <c r="C55" s="2" t="s">
        <v>8</v>
      </c>
      <c r="D55" s="2">
        <v>7</v>
      </c>
      <c r="E55" s="2" t="s">
        <v>77</v>
      </c>
      <c r="F55" s="2">
        <v>9</v>
      </c>
      <c r="G55" s="2" t="s">
        <v>145</v>
      </c>
      <c r="H55" s="2">
        <v>3950</v>
      </c>
      <c r="I55" s="2">
        <v>239.38</v>
      </c>
      <c r="J55" s="2">
        <v>1988</v>
      </c>
      <c r="K55" s="2">
        <v>1168</v>
      </c>
      <c r="L55" s="2">
        <v>67</v>
      </c>
      <c r="M55" s="2">
        <v>76</v>
      </c>
      <c r="N55" s="2">
        <v>0.86599999999999999</v>
      </c>
      <c r="O55" s="2">
        <v>1.2549999999999999</v>
      </c>
      <c r="P55" s="2">
        <v>0.79700000000000004</v>
      </c>
      <c r="Q55" s="13">
        <v>0.97199999999999998</v>
      </c>
    </row>
    <row r="56" spans="1:17">
      <c r="A56" s="1" t="s">
        <v>12</v>
      </c>
      <c r="B56" s="2" t="s">
        <v>4</v>
      </c>
      <c r="C56" s="2" t="s">
        <v>8</v>
      </c>
      <c r="D56" s="2">
        <v>7</v>
      </c>
      <c r="E56" s="2" t="s">
        <v>77</v>
      </c>
      <c r="F56" s="2">
        <v>10</v>
      </c>
      <c r="G56" s="2" t="s">
        <v>146</v>
      </c>
      <c r="H56" s="2">
        <v>4196</v>
      </c>
      <c r="I56" s="2">
        <v>242.45099999999999</v>
      </c>
      <c r="J56" s="2">
        <v>1907</v>
      </c>
      <c r="K56" s="2">
        <v>1178</v>
      </c>
      <c r="L56" s="2">
        <v>69</v>
      </c>
      <c r="M56" s="2">
        <v>78</v>
      </c>
      <c r="N56" s="2">
        <v>0.89700000000000002</v>
      </c>
      <c r="O56" s="2">
        <v>1.151</v>
      </c>
      <c r="P56" s="2">
        <v>0.86799999999999999</v>
      </c>
      <c r="Q56" s="13">
        <v>0.97799999999999998</v>
      </c>
    </row>
    <row r="57" spans="1:17">
      <c r="A57" s="1" t="s">
        <v>12</v>
      </c>
      <c r="B57" s="2" t="s">
        <v>4</v>
      </c>
      <c r="C57" s="2" t="s">
        <v>8</v>
      </c>
      <c r="D57" s="2">
        <v>8</v>
      </c>
      <c r="E57" s="2" t="s">
        <v>77</v>
      </c>
      <c r="F57" s="2">
        <v>1</v>
      </c>
      <c r="G57" s="2" t="s">
        <v>147</v>
      </c>
      <c r="H57" s="2">
        <v>2041</v>
      </c>
      <c r="I57" s="2">
        <v>172.40899999999999</v>
      </c>
      <c r="J57" s="2">
        <v>1947</v>
      </c>
      <c r="K57" s="2">
        <v>909</v>
      </c>
      <c r="L57" s="2">
        <v>57</v>
      </c>
      <c r="M57" s="2">
        <v>50</v>
      </c>
      <c r="N57" s="2">
        <v>0.86299999999999999</v>
      </c>
      <c r="O57" s="2">
        <v>1.365</v>
      </c>
      <c r="P57" s="2">
        <v>0.73199999999999998</v>
      </c>
      <c r="Q57" s="13">
        <v>0.96399999999999997</v>
      </c>
    </row>
    <row r="58" spans="1:17">
      <c r="A58" s="1" t="s">
        <v>12</v>
      </c>
      <c r="B58" s="2" t="s">
        <v>4</v>
      </c>
      <c r="C58" s="2" t="s">
        <v>8</v>
      </c>
      <c r="D58" s="2">
        <v>8</v>
      </c>
      <c r="E58" s="2" t="s">
        <v>77</v>
      </c>
      <c r="F58" s="2">
        <v>2</v>
      </c>
      <c r="G58" s="2" t="s">
        <v>148</v>
      </c>
      <c r="H58" s="2">
        <v>3653</v>
      </c>
      <c r="I58" s="2">
        <v>229.238</v>
      </c>
      <c r="J58" s="2">
        <v>1849</v>
      </c>
      <c r="K58" s="2">
        <v>901</v>
      </c>
      <c r="L58" s="2">
        <v>59</v>
      </c>
      <c r="M58" s="2">
        <v>77</v>
      </c>
      <c r="N58" s="2">
        <v>0.874</v>
      </c>
      <c r="O58" s="2">
        <v>1.306</v>
      </c>
      <c r="P58" s="2">
        <v>0.76600000000000001</v>
      </c>
      <c r="Q58" s="13">
        <v>0.97499999999999998</v>
      </c>
    </row>
    <row r="59" spans="1:17">
      <c r="A59" s="1" t="s">
        <v>12</v>
      </c>
      <c r="B59" s="2" t="s">
        <v>4</v>
      </c>
      <c r="C59" s="2" t="s">
        <v>8</v>
      </c>
      <c r="D59" s="2">
        <v>8</v>
      </c>
      <c r="E59" s="2" t="s">
        <v>77</v>
      </c>
      <c r="F59" s="16">
        <v>3</v>
      </c>
      <c r="G59" s="16" t="s">
        <v>149</v>
      </c>
      <c r="H59" s="16">
        <v>3868</v>
      </c>
      <c r="I59" s="16">
        <v>237.62200000000001</v>
      </c>
      <c r="J59" s="16">
        <v>1769</v>
      </c>
      <c r="K59" s="16">
        <v>913</v>
      </c>
      <c r="L59" s="16">
        <v>67</v>
      </c>
      <c r="M59" s="16">
        <v>77</v>
      </c>
      <c r="N59" s="16">
        <v>0.86099999999999999</v>
      </c>
      <c r="O59" s="16">
        <v>1.1459999999999999</v>
      </c>
      <c r="P59" s="16">
        <v>0.873</v>
      </c>
      <c r="Q59" s="17">
        <v>0.97199999999999998</v>
      </c>
    </row>
    <row r="60" spans="1:17">
      <c r="A60" s="1" t="s">
        <v>12</v>
      </c>
      <c r="B60" s="2" t="s">
        <v>4</v>
      </c>
      <c r="C60" s="2" t="s">
        <v>8</v>
      </c>
      <c r="D60" s="2">
        <v>8</v>
      </c>
      <c r="E60" s="2" t="s">
        <v>77</v>
      </c>
      <c r="F60" s="2">
        <v>4</v>
      </c>
      <c r="G60" s="2" t="s">
        <v>150</v>
      </c>
      <c r="H60" s="2">
        <v>3068</v>
      </c>
      <c r="I60" s="2">
        <v>212.79400000000001</v>
      </c>
      <c r="J60" s="2">
        <v>1921</v>
      </c>
      <c r="K60" s="2">
        <v>950</v>
      </c>
      <c r="L60" s="2">
        <v>66</v>
      </c>
      <c r="M60" s="2">
        <v>65</v>
      </c>
      <c r="N60" s="2">
        <v>0.85099999999999998</v>
      </c>
      <c r="O60" s="2">
        <v>1.042</v>
      </c>
      <c r="P60" s="2">
        <v>0.96</v>
      </c>
      <c r="Q60" s="13">
        <v>0.96799999999999997</v>
      </c>
    </row>
    <row r="61" spans="1:17">
      <c r="A61" s="1" t="s">
        <v>12</v>
      </c>
      <c r="B61" s="2" t="s">
        <v>4</v>
      </c>
      <c r="C61" s="2" t="s">
        <v>8</v>
      </c>
      <c r="D61" s="2">
        <v>8</v>
      </c>
      <c r="E61" s="2" t="s">
        <v>77</v>
      </c>
      <c r="F61" s="2">
        <v>5</v>
      </c>
      <c r="G61" s="2" t="s">
        <v>151</v>
      </c>
      <c r="H61" s="2">
        <v>3446</v>
      </c>
      <c r="I61" s="2">
        <v>221.96600000000001</v>
      </c>
      <c r="J61" s="2">
        <v>1989</v>
      </c>
      <c r="K61" s="2">
        <v>981</v>
      </c>
      <c r="L61" s="2">
        <v>70</v>
      </c>
      <c r="M61" s="2">
        <v>65</v>
      </c>
      <c r="N61" s="2">
        <v>0.879</v>
      </c>
      <c r="O61" s="2">
        <v>1.1910000000000001</v>
      </c>
      <c r="P61" s="2">
        <v>0.83899999999999997</v>
      </c>
      <c r="Q61" s="13">
        <v>0.97099999999999997</v>
      </c>
    </row>
    <row r="62" spans="1:17">
      <c r="A62" s="1" t="s">
        <v>12</v>
      </c>
      <c r="B62" s="2" t="s">
        <v>4</v>
      </c>
      <c r="C62" s="2" t="s">
        <v>8</v>
      </c>
      <c r="D62" s="2">
        <v>8</v>
      </c>
      <c r="E62" s="2" t="s">
        <v>77</v>
      </c>
      <c r="F62" s="2">
        <v>6</v>
      </c>
      <c r="G62" s="2" t="s">
        <v>152</v>
      </c>
      <c r="H62" s="2">
        <v>3836</v>
      </c>
      <c r="I62" s="2">
        <v>232.55099999999999</v>
      </c>
      <c r="J62" s="2">
        <v>1712</v>
      </c>
      <c r="K62" s="2">
        <v>1000</v>
      </c>
      <c r="L62" s="2">
        <v>73</v>
      </c>
      <c r="M62" s="2">
        <v>67</v>
      </c>
      <c r="N62" s="2">
        <v>0.89100000000000001</v>
      </c>
      <c r="O62" s="2">
        <v>1.1040000000000001</v>
      </c>
      <c r="P62" s="2">
        <v>0.90600000000000003</v>
      </c>
      <c r="Q62" s="13">
        <v>0.97599999999999998</v>
      </c>
    </row>
    <row r="63" spans="1:17">
      <c r="A63" s="1" t="s">
        <v>12</v>
      </c>
      <c r="B63" s="2" t="s">
        <v>4</v>
      </c>
      <c r="C63" s="2" t="s">
        <v>8</v>
      </c>
      <c r="D63" s="2">
        <v>8</v>
      </c>
      <c r="E63" s="2" t="s">
        <v>77</v>
      </c>
      <c r="F63" s="2">
        <v>7</v>
      </c>
      <c r="G63" s="2" t="s">
        <v>153</v>
      </c>
      <c r="H63" s="2">
        <v>2171</v>
      </c>
      <c r="I63" s="2">
        <v>177.238</v>
      </c>
      <c r="J63" s="2">
        <v>2041</v>
      </c>
      <c r="K63" s="2">
        <v>1055</v>
      </c>
      <c r="L63" s="2">
        <v>56</v>
      </c>
      <c r="M63" s="2">
        <v>53</v>
      </c>
      <c r="N63" s="2">
        <v>0.86799999999999999</v>
      </c>
      <c r="O63" s="2">
        <v>1.079</v>
      </c>
      <c r="P63" s="2">
        <v>0.92700000000000005</v>
      </c>
      <c r="Q63" s="13">
        <v>0.96099999999999997</v>
      </c>
    </row>
    <row r="64" spans="1:17">
      <c r="A64" s="1" t="s">
        <v>12</v>
      </c>
      <c r="B64" s="2" t="s">
        <v>4</v>
      </c>
      <c r="C64" s="2" t="s">
        <v>8</v>
      </c>
      <c r="D64" s="2">
        <v>8</v>
      </c>
      <c r="E64" s="2" t="s">
        <v>77</v>
      </c>
      <c r="F64" s="2">
        <v>8</v>
      </c>
      <c r="G64" s="2" t="s">
        <v>154</v>
      </c>
      <c r="H64" s="2">
        <v>4265</v>
      </c>
      <c r="I64" s="2">
        <v>247.76499999999999</v>
      </c>
      <c r="J64" s="2">
        <v>1729</v>
      </c>
      <c r="K64" s="2">
        <v>1096</v>
      </c>
      <c r="L64" s="2">
        <v>82</v>
      </c>
      <c r="M64" s="2">
        <v>69</v>
      </c>
      <c r="N64" s="2">
        <v>0.873</v>
      </c>
      <c r="O64" s="2">
        <v>1.3080000000000001</v>
      </c>
      <c r="P64" s="2">
        <v>0.76500000000000001</v>
      </c>
      <c r="Q64" s="13">
        <v>0.97499999999999998</v>
      </c>
    </row>
    <row r="65" spans="1:17">
      <c r="A65" s="1" t="s">
        <v>12</v>
      </c>
      <c r="B65" s="2" t="s">
        <v>4</v>
      </c>
      <c r="C65" s="2" t="s">
        <v>8</v>
      </c>
      <c r="D65" s="2">
        <v>8</v>
      </c>
      <c r="E65" s="2" t="s">
        <v>77</v>
      </c>
      <c r="F65" s="2">
        <v>9</v>
      </c>
      <c r="G65" s="2" t="s">
        <v>155</v>
      </c>
      <c r="H65" s="2">
        <v>4337</v>
      </c>
      <c r="I65" s="2">
        <v>246.59299999999999</v>
      </c>
      <c r="J65" s="2">
        <v>1989</v>
      </c>
      <c r="K65" s="2">
        <v>1119</v>
      </c>
      <c r="L65" s="2">
        <v>77</v>
      </c>
      <c r="M65" s="2">
        <v>75</v>
      </c>
      <c r="N65" s="2">
        <v>0.89600000000000002</v>
      </c>
      <c r="O65" s="2">
        <v>1.153</v>
      </c>
      <c r="P65" s="2">
        <v>0.86699999999999999</v>
      </c>
      <c r="Q65" s="13">
        <v>0.97799999999999998</v>
      </c>
    </row>
    <row r="66" spans="1:17">
      <c r="A66" s="1" t="s">
        <v>12</v>
      </c>
      <c r="B66" s="2" t="s">
        <v>4</v>
      </c>
      <c r="C66" s="2" t="s">
        <v>8</v>
      </c>
      <c r="D66" s="2">
        <v>8</v>
      </c>
      <c r="E66" s="2" t="s">
        <v>77</v>
      </c>
      <c r="F66" s="2">
        <v>10</v>
      </c>
      <c r="G66" s="2" t="s">
        <v>156</v>
      </c>
      <c r="H66" s="2">
        <v>1391</v>
      </c>
      <c r="I66" s="2">
        <v>140.125</v>
      </c>
      <c r="J66" s="2">
        <v>1956</v>
      </c>
      <c r="K66" s="2">
        <v>1193</v>
      </c>
      <c r="L66" s="2">
        <v>40</v>
      </c>
      <c r="M66" s="2">
        <v>45</v>
      </c>
      <c r="N66" s="2">
        <v>0.89</v>
      </c>
      <c r="O66" s="2">
        <v>1.274</v>
      </c>
      <c r="P66" s="2">
        <v>0.78500000000000003</v>
      </c>
      <c r="Q66" s="13">
        <v>0.96299999999999997</v>
      </c>
    </row>
    <row r="67" spans="1:17">
      <c r="A67" s="1" t="s">
        <v>12</v>
      </c>
      <c r="B67" s="2" t="s">
        <v>4</v>
      </c>
      <c r="C67" s="2" t="s">
        <v>8</v>
      </c>
      <c r="D67" s="2">
        <v>8</v>
      </c>
      <c r="E67" s="2" t="s">
        <v>77</v>
      </c>
      <c r="F67" s="2">
        <v>11</v>
      </c>
      <c r="G67" s="2" t="s">
        <v>157</v>
      </c>
      <c r="H67" s="2">
        <v>3527</v>
      </c>
      <c r="I67" s="2">
        <v>221.96600000000001</v>
      </c>
      <c r="J67" s="2">
        <v>1777</v>
      </c>
      <c r="K67" s="2">
        <v>1176</v>
      </c>
      <c r="L67" s="2">
        <v>67</v>
      </c>
      <c r="M67" s="2">
        <v>68</v>
      </c>
      <c r="N67" s="2">
        <v>0.9</v>
      </c>
      <c r="O67" s="2">
        <v>1.0620000000000001</v>
      </c>
      <c r="P67" s="2">
        <v>0.94199999999999995</v>
      </c>
      <c r="Q67" s="13">
        <v>0.97699999999999998</v>
      </c>
    </row>
    <row r="68" spans="1:17">
      <c r="A68" s="1" t="s">
        <v>12</v>
      </c>
      <c r="B68" s="2" t="s">
        <v>4</v>
      </c>
      <c r="C68" s="2" t="s">
        <v>8</v>
      </c>
      <c r="D68" s="2">
        <v>8</v>
      </c>
      <c r="E68" s="2" t="s">
        <v>77</v>
      </c>
      <c r="F68" s="16">
        <v>12</v>
      </c>
      <c r="G68" s="16" t="s">
        <v>158</v>
      </c>
      <c r="H68" s="16">
        <v>4193</v>
      </c>
      <c r="I68" s="16">
        <v>244.55099999999999</v>
      </c>
      <c r="J68" s="16">
        <v>1875</v>
      </c>
      <c r="K68" s="16">
        <v>1172</v>
      </c>
      <c r="L68" s="16">
        <v>65</v>
      </c>
      <c r="M68" s="16">
        <v>81</v>
      </c>
      <c r="N68" s="16">
        <v>0.88100000000000001</v>
      </c>
      <c r="O68" s="16">
        <v>1.272</v>
      </c>
      <c r="P68" s="16">
        <v>0.78600000000000003</v>
      </c>
      <c r="Q68" s="17">
        <v>0.97599999999999998</v>
      </c>
    </row>
    <row r="69" spans="1:17">
      <c r="A69" s="1" t="s">
        <v>12</v>
      </c>
      <c r="B69" s="2" t="s">
        <v>4</v>
      </c>
      <c r="C69" s="2" t="s">
        <v>8</v>
      </c>
      <c r="D69" s="2">
        <v>9</v>
      </c>
      <c r="E69" s="2" t="s">
        <v>77</v>
      </c>
      <c r="F69" s="2">
        <v>1</v>
      </c>
      <c r="G69" s="2" t="s">
        <v>159</v>
      </c>
      <c r="H69" s="2">
        <v>3041</v>
      </c>
      <c r="I69" s="2">
        <v>213.72300000000001</v>
      </c>
      <c r="J69" s="2">
        <v>1962</v>
      </c>
      <c r="K69" s="2">
        <v>700</v>
      </c>
      <c r="L69" s="2">
        <v>58</v>
      </c>
      <c r="M69" s="2">
        <v>72</v>
      </c>
      <c r="N69" s="2">
        <v>0.83699999999999997</v>
      </c>
      <c r="O69" s="2">
        <v>1.2589999999999999</v>
      </c>
      <c r="P69" s="2">
        <v>0.79400000000000004</v>
      </c>
      <c r="Q69" s="13">
        <v>0.96399999999999997</v>
      </c>
    </row>
    <row r="70" spans="1:17">
      <c r="A70" s="1" t="s">
        <v>12</v>
      </c>
      <c r="B70" s="2" t="s">
        <v>4</v>
      </c>
      <c r="C70" s="2" t="s">
        <v>8</v>
      </c>
      <c r="D70" s="2">
        <v>9</v>
      </c>
      <c r="E70" s="2" t="s">
        <v>77</v>
      </c>
      <c r="F70" s="2">
        <v>2</v>
      </c>
      <c r="G70" s="2" t="s">
        <v>160</v>
      </c>
      <c r="H70" s="2">
        <v>3449</v>
      </c>
      <c r="I70" s="2">
        <v>225.03700000000001</v>
      </c>
      <c r="J70" s="2">
        <v>2024</v>
      </c>
      <c r="K70" s="2">
        <v>723</v>
      </c>
      <c r="L70" s="2">
        <v>64</v>
      </c>
      <c r="M70" s="2">
        <v>74</v>
      </c>
      <c r="N70" s="2">
        <v>0.85599999999999998</v>
      </c>
      <c r="O70" s="2">
        <v>1.413</v>
      </c>
      <c r="P70" s="2">
        <v>0.70799999999999996</v>
      </c>
      <c r="Q70" s="13">
        <v>0.97199999999999998</v>
      </c>
    </row>
    <row r="71" spans="1:17">
      <c r="A71" s="1" t="s">
        <v>12</v>
      </c>
      <c r="B71" s="2" t="s">
        <v>4</v>
      </c>
      <c r="C71" s="2" t="s">
        <v>8</v>
      </c>
      <c r="D71" s="2">
        <v>9</v>
      </c>
      <c r="E71" s="2" t="s">
        <v>77</v>
      </c>
      <c r="F71" s="2">
        <v>3</v>
      </c>
      <c r="G71" s="2" t="s">
        <v>161</v>
      </c>
      <c r="H71" s="2">
        <v>4136</v>
      </c>
      <c r="I71" s="2">
        <v>240.45099999999999</v>
      </c>
      <c r="J71" s="2">
        <v>1852</v>
      </c>
      <c r="K71" s="2">
        <v>751</v>
      </c>
      <c r="L71" s="2">
        <v>76</v>
      </c>
      <c r="M71" s="2">
        <v>70</v>
      </c>
      <c r="N71" s="2">
        <v>0.89900000000000002</v>
      </c>
      <c r="O71" s="2">
        <v>1.107</v>
      </c>
      <c r="P71" s="2">
        <v>0.90400000000000003</v>
      </c>
      <c r="Q71" s="13">
        <v>0.97699999999999998</v>
      </c>
    </row>
    <row r="72" spans="1:17">
      <c r="A72" s="1" t="s">
        <v>12</v>
      </c>
      <c r="B72" s="2" t="s">
        <v>4</v>
      </c>
      <c r="C72" s="2" t="s">
        <v>8</v>
      </c>
      <c r="D72" s="2">
        <v>9</v>
      </c>
      <c r="E72" s="2" t="s">
        <v>77</v>
      </c>
      <c r="F72" s="2">
        <v>4</v>
      </c>
      <c r="G72" s="2" t="s">
        <v>162</v>
      </c>
      <c r="H72" s="2">
        <v>3976</v>
      </c>
      <c r="I72" s="2">
        <v>242.69300000000001</v>
      </c>
      <c r="J72" s="2">
        <v>2090</v>
      </c>
      <c r="K72" s="2">
        <v>772</v>
      </c>
      <c r="L72" s="2">
        <v>78</v>
      </c>
      <c r="M72" s="2">
        <v>70</v>
      </c>
      <c r="N72" s="2">
        <v>0.84799999999999998</v>
      </c>
      <c r="O72" s="2">
        <v>1.306</v>
      </c>
      <c r="P72" s="2">
        <v>0.76600000000000001</v>
      </c>
      <c r="Q72" s="13">
        <v>0.96499999999999997</v>
      </c>
    </row>
    <row r="73" spans="1:17">
      <c r="A73" s="1" t="s">
        <v>12</v>
      </c>
      <c r="B73" s="2" t="s">
        <v>4</v>
      </c>
      <c r="C73" s="2" t="s">
        <v>8</v>
      </c>
      <c r="D73" s="2">
        <v>9</v>
      </c>
      <c r="E73" s="2" t="s">
        <v>77</v>
      </c>
      <c r="F73" s="2">
        <v>5</v>
      </c>
      <c r="G73" s="2" t="s">
        <v>163</v>
      </c>
      <c r="H73" s="2">
        <v>3150</v>
      </c>
      <c r="I73" s="2">
        <v>219.137</v>
      </c>
      <c r="J73" s="2">
        <v>1835</v>
      </c>
      <c r="K73" s="2">
        <v>853</v>
      </c>
      <c r="L73" s="2">
        <v>77</v>
      </c>
      <c r="M73" s="2">
        <v>54</v>
      </c>
      <c r="N73" s="2">
        <v>0.82399999999999995</v>
      </c>
      <c r="O73" s="2">
        <v>1.444</v>
      </c>
      <c r="P73" s="2">
        <v>0.69199999999999995</v>
      </c>
      <c r="Q73" s="13">
        <v>0.96399999999999997</v>
      </c>
    </row>
    <row r="74" spans="1:17">
      <c r="A74" s="1" t="s">
        <v>12</v>
      </c>
      <c r="B74" s="2" t="s">
        <v>4</v>
      </c>
      <c r="C74" s="2" t="s">
        <v>8</v>
      </c>
      <c r="D74" s="2">
        <v>9</v>
      </c>
      <c r="E74" s="2" t="s">
        <v>77</v>
      </c>
      <c r="F74" s="2">
        <v>6</v>
      </c>
      <c r="G74" s="2" t="s">
        <v>164</v>
      </c>
      <c r="H74" s="2">
        <v>3229</v>
      </c>
      <c r="I74" s="2">
        <v>220.066</v>
      </c>
      <c r="J74" s="2">
        <v>2120</v>
      </c>
      <c r="K74" s="2">
        <v>861</v>
      </c>
      <c r="L74" s="2">
        <v>79</v>
      </c>
      <c r="M74" s="2">
        <v>51</v>
      </c>
      <c r="N74" s="2">
        <v>0.83799999999999997</v>
      </c>
      <c r="O74" s="2">
        <v>1.5429999999999999</v>
      </c>
      <c r="P74" s="2">
        <v>0.64800000000000002</v>
      </c>
      <c r="Q74" s="13">
        <v>0.97</v>
      </c>
    </row>
    <row r="75" spans="1:17">
      <c r="A75" s="1" t="s">
        <v>12</v>
      </c>
      <c r="B75" s="2" t="s">
        <v>4</v>
      </c>
      <c r="C75" s="2" t="s">
        <v>8</v>
      </c>
      <c r="D75" s="2">
        <v>9</v>
      </c>
      <c r="E75" s="2" t="s">
        <v>77</v>
      </c>
      <c r="F75" s="2">
        <v>7</v>
      </c>
      <c r="G75" s="2" t="s">
        <v>165</v>
      </c>
      <c r="H75" s="2">
        <v>2348</v>
      </c>
      <c r="I75" s="2">
        <v>182.40899999999999</v>
      </c>
      <c r="J75" s="2">
        <v>2131</v>
      </c>
      <c r="K75" s="2">
        <v>938</v>
      </c>
      <c r="L75" s="2">
        <v>60</v>
      </c>
      <c r="M75" s="2">
        <v>52</v>
      </c>
      <c r="N75" s="2">
        <v>0.88700000000000001</v>
      </c>
      <c r="O75" s="2">
        <v>1.1930000000000001</v>
      </c>
      <c r="P75" s="2">
        <v>0.83799999999999997</v>
      </c>
      <c r="Q75" s="13">
        <v>0.97299999999999998</v>
      </c>
    </row>
    <row r="76" spans="1:17">
      <c r="A76" s="1" t="s">
        <v>12</v>
      </c>
      <c r="B76" s="2" t="s">
        <v>4</v>
      </c>
      <c r="C76" s="2" t="s">
        <v>8</v>
      </c>
      <c r="D76" s="2">
        <v>9</v>
      </c>
      <c r="E76" s="2" t="s">
        <v>77</v>
      </c>
      <c r="F76" s="2">
        <v>8</v>
      </c>
      <c r="G76" s="2" t="s">
        <v>166</v>
      </c>
      <c r="H76" s="2">
        <v>3480</v>
      </c>
      <c r="I76" s="2">
        <v>225.279</v>
      </c>
      <c r="J76" s="2">
        <v>1844</v>
      </c>
      <c r="K76" s="2">
        <v>933</v>
      </c>
      <c r="L76" s="2">
        <v>70</v>
      </c>
      <c r="M76" s="2">
        <v>69</v>
      </c>
      <c r="N76" s="2">
        <v>0.86199999999999999</v>
      </c>
      <c r="O76" s="2">
        <v>1.054</v>
      </c>
      <c r="P76" s="2">
        <v>0.94899999999999995</v>
      </c>
      <c r="Q76" s="13">
        <v>0.97</v>
      </c>
    </row>
    <row r="77" spans="1:17">
      <c r="A77" s="1" t="s">
        <v>12</v>
      </c>
      <c r="B77" s="2" t="s">
        <v>4</v>
      </c>
      <c r="C77" s="2" t="s">
        <v>8</v>
      </c>
      <c r="D77" s="2">
        <v>9</v>
      </c>
      <c r="E77" s="2" t="s">
        <v>77</v>
      </c>
      <c r="F77" s="2">
        <v>9</v>
      </c>
      <c r="G77" s="2" t="s">
        <v>167</v>
      </c>
      <c r="H77" s="2">
        <v>3971</v>
      </c>
      <c r="I77" s="2">
        <v>240.93600000000001</v>
      </c>
      <c r="J77" s="2">
        <v>1927</v>
      </c>
      <c r="K77" s="2">
        <v>968</v>
      </c>
      <c r="L77" s="2">
        <v>71</v>
      </c>
      <c r="M77" s="2">
        <v>77</v>
      </c>
      <c r="N77" s="2">
        <v>0.86</v>
      </c>
      <c r="O77" s="2">
        <v>1.3959999999999999</v>
      </c>
      <c r="P77" s="2">
        <v>0.71599999999999997</v>
      </c>
      <c r="Q77" s="13">
        <v>0.97499999999999998</v>
      </c>
    </row>
    <row r="78" spans="1:17">
      <c r="A78" s="1" t="s">
        <v>12</v>
      </c>
      <c r="B78" s="2" t="s">
        <v>4</v>
      </c>
      <c r="C78" s="2" t="s">
        <v>8</v>
      </c>
      <c r="D78" s="2">
        <v>9</v>
      </c>
      <c r="E78" s="2" t="s">
        <v>77</v>
      </c>
      <c r="F78" s="16">
        <v>10</v>
      </c>
      <c r="G78" s="16" t="s">
        <v>168</v>
      </c>
      <c r="H78" s="16">
        <v>3381</v>
      </c>
      <c r="I78" s="16">
        <v>221.03700000000001</v>
      </c>
      <c r="J78" s="16">
        <v>2059</v>
      </c>
      <c r="K78" s="16">
        <v>977</v>
      </c>
      <c r="L78" s="16">
        <v>66</v>
      </c>
      <c r="M78" s="16">
        <v>70</v>
      </c>
      <c r="N78" s="16">
        <v>0.87</v>
      </c>
      <c r="O78" s="16">
        <v>1.26</v>
      </c>
      <c r="P78" s="16">
        <v>0.79300000000000004</v>
      </c>
      <c r="Q78" s="17">
        <v>0.97299999999999998</v>
      </c>
    </row>
    <row r="79" spans="1:17">
      <c r="A79" s="1" t="s">
        <v>12</v>
      </c>
      <c r="B79" s="2" t="s">
        <v>4</v>
      </c>
      <c r="C79" s="2" t="s">
        <v>8</v>
      </c>
      <c r="D79" s="2">
        <v>9</v>
      </c>
      <c r="E79" s="2" t="s">
        <v>77</v>
      </c>
      <c r="F79" s="2">
        <v>11</v>
      </c>
      <c r="G79" s="2" t="s">
        <v>169</v>
      </c>
      <c r="H79" s="2">
        <v>1511</v>
      </c>
      <c r="I79" s="2">
        <v>146.36799999999999</v>
      </c>
      <c r="J79" s="2">
        <v>1994</v>
      </c>
      <c r="K79" s="2">
        <v>1030</v>
      </c>
      <c r="L79" s="2">
        <v>44</v>
      </c>
      <c r="M79" s="2">
        <v>45</v>
      </c>
      <c r="N79" s="2">
        <v>0.88600000000000001</v>
      </c>
      <c r="O79" s="2">
        <v>1.163</v>
      </c>
      <c r="P79" s="2">
        <v>0.86</v>
      </c>
      <c r="Q79" s="13">
        <v>0.96599999999999997</v>
      </c>
    </row>
    <row r="80" spans="1:17">
      <c r="A80" s="1" t="s">
        <v>12</v>
      </c>
      <c r="B80" s="2" t="s">
        <v>4</v>
      </c>
      <c r="C80" s="2" t="s">
        <v>8</v>
      </c>
      <c r="D80" s="2">
        <v>10</v>
      </c>
      <c r="E80" s="2" t="s">
        <v>77</v>
      </c>
      <c r="F80" s="2">
        <v>1</v>
      </c>
      <c r="G80" s="2" t="s">
        <v>170</v>
      </c>
      <c r="H80" s="2">
        <v>2254</v>
      </c>
      <c r="I80" s="2">
        <v>177.92400000000001</v>
      </c>
      <c r="J80" s="2">
        <v>1773</v>
      </c>
      <c r="K80" s="2">
        <v>1013</v>
      </c>
      <c r="L80" s="2">
        <v>50</v>
      </c>
      <c r="M80" s="2">
        <v>58</v>
      </c>
      <c r="N80" s="2">
        <v>0.89500000000000002</v>
      </c>
      <c r="O80" s="2">
        <v>1.1719999999999999</v>
      </c>
      <c r="P80" s="2">
        <v>0.85399999999999998</v>
      </c>
      <c r="Q80" s="13">
        <v>0.97</v>
      </c>
    </row>
    <row r="81" spans="1:17">
      <c r="A81" s="1" t="s">
        <v>12</v>
      </c>
      <c r="B81" s="2" t="s">
        <v>4</v>
      </c>
      <c r="C81" s="2" t="s">
        <v>8</v>
      </c>
      <c r="D81" s="2">
        <v>10</v>
      </c>
      <c r="E81" s="2" t="s">
        <v>77</v>
      </c>
      <c r="F81" s="2">
        <v>2</v>
      </c>
      <c r="G81" s="2" t="s">
        <v>171</v>
      </c>
      <c r="H81" s="2">
        <v>2371</v>
      </c>
      <c r="I81" s="2">
        <v>186.066</v>
      </c>
      <c r="J81" s="2">
        <v>1847</v>
      </c>
      <c r="K81" s="2">
        <v>1032</v>
      </c>
      <c r="L81" s="2">
        <v>57</v>
      </c>
      <c r="M81" s="2">
        <v>55</v>
      </c>
      <c r="N81" s="2">
        <v>0.86099999999999999</v>
      </c>
      <c r="O81" s="2">
        <v>1.1259999999999999</v>
      </c>
      <c r="P81" s="2">
        <v>0.88800000000000001</v>
      </c>
      <c r="Q81" s="13">
        <v>0.96799999999999997</v>
      </c>
    </row>
    <row r="82" spans="1:17">
      <c r="A82" s="1" t="s">
        <v>12</v>
      </c>
      <c r="B82" s="2" t="s">
        <v>4</v>
      </c>
      <c r="C82" s="2" t="s">
        <v>8</v>
      </c>
      <c r="D82" s="2">
        <v>10</v>
      </c>
      <c r="E82" s="2" t="s">
        <v>77</v>
      </c>
      <c r="F82" s="2">
        <v>3</v>
      </c>
      <c r="G82" s="2" t="s">
        <v>172</v>
      </c>
      <c r="H82" s="2">
        <v>2711</v>
      </c>
      <c r="I82" s="2">
        <v>193.58099999999999</v>
      </c>
      <c r="J82" s="2">
        <v>1689</v>
      </c>
      <c r="K82" s="2">
        <v>1047</v>
      </c>
      <c r="L82" s="2">
        <v>60</v>
      </c>
      <c r="M82" s="2">
        <v>57</v>
      </c>
      <c r="N82" s="2">
        <v>0.90900000000000003</v>
      </c>
      <c r="O82" s="2">
        <v>1.0840000000000001</v>
      </c>
      <c r="P82" s="2">
        <v>0.92200000000000004</v>
      </c>
      <c r="Q82" s="13">
        <v>0.97699999999999998</v>
      </c>
    </row>
    <row r="83" spans="1:17">
      <c r="A83" s="1" t="s">
        <v>12</v>
      </c>
      <c r="B83" s="2" t="s">
        <v>4</v>
      </c>
      <c r="C83" s="2" t="s">
        <v>8</v>
      </c>
      <c r="D83" s="2">
        <v>10</v>
      </c>
      <c r="E83" s="2" t="s">
        <v>77</v>
      </c>
      <c r="F83" s="2">
        <v>4</v>
      </c>
      <c r="G83" s="2" t="s">
        <v>173</v>
      </c>
      <c r="H83" s="2">
        <v>3086</v>
      </c>
      <c r="I83" s="2">
        <v>215.82300000000001</v>
      </c>
      <c r="J83" s="2">
        <v>1888</v>
      </c>
      <c r="K83" s="2">
        <v>1102</v>
      </c>
      <c r="L83" s="2">
        <v>73</v>
      </c>
      <c r="M83" s="2">
        <v>54</v>
      </c>
      <c r="N83" s="2">
        <v>0.83299999999999996</v>
      </c>
      <c r="O83" s="2">
        <v>1.4550000000000001</v>
      </c>
      <c r="P83" s="2">
        <v>0.68700000000000006</v>
      </c>
      <c r="Q83" s="13">
        <v>0.97299999999999998</v>
      </c>
    </row>
    <row r="84" spans="1:17">
      <c r="A84" s="1" t="s">
        <v>12</v>
      </c>
      <c r="B84" s="2" t="s">
        <v>4</v>
      </c>
      <c r="C84" s="2" t="s">
        <v>8</v>
      </c>
      <c r="D84" s="2">
        <v>10</v>
      </c>
      <c r="E84" s="2" t="s">
        <v>77</v>
      </c>
      <c r="F84" s="2">
        <v>5</v>
      </c>
      <c r="G84" s="2" t="s">
        <v>174</v>
      </c>
      <c r="H84" s="2">
        <v>2992</v>
      </c>
      <c r="I84" s="2">
        <v>205.48</v>
      </c>
      <c r="J84" s="2">
        <v>1642</v>
      </c>
      <c r="K84" s="2">
        <v>1136</v>
      </c>
      <c r="L84" s="2">
        <v>67</v>
      </c>
      <c r="M84" s="2">
        <v>58</v>
      </c>
      <c r="N84" s="2">
        <v>0.89</v>
      </c>
      <c r="O84" s="2">
        <v>1.177</v>
      </c>
      <c r="P84" s="2">
        <v>0.84899999999999998</v>
      </c>
      <c r="Q84" s="13">
        <v>0.97199999999999998</v>
      </c>
    </row>
    <row r="85" spans="1:17">
      <c r="A85" s="1" t="s">
        <v>12</v>
      </c>
      <c r="B85" s="2" t="s">
        <v>4</v>
      </c>
      <c r="C85" s="2" t="s">
        <v>8</v>
      </c>
      <c r="D85" s="2">
        <v>10</v>
      </c>
      <c r="E85" s="2" t="s">
        <v>77</v>
      </c>
      <c r="F85" s="2">
        <v>6</v>
      </c>
      <c r="G85" s="2" t="s">
        <v>175</v>
      </c>
      <c r="H85" s="2">
        <v>2467</v>
      </c>
      <c r="I85" s="2">
        <v>191.33799999999999</v>
      </c>
      <c r="J85" s="2">
        <v>1915</v>
      </c>
      <c r="K85" s="2">
        <v>1190</v>
      </c>
      <c r="L85" s="2">
        <v>66</v>
      </c>
      <c r="M85" s="2">
        <v>49</v>
      </c>
      <c r="N85" s="2">
        <v>0.84699999999999998</v>
      </c>
      <c r="O85" s="2">
        <v>1.3160000000000001</v>
      </c>
      <c r="P85" s="2">
        <v>0.76</v>
      </c>
      <c r="Q85" s="13">
        <v>0.96799999999999997</v>
      </c>
    </row>
    <row r="86" spans="1:17">
      <c r="A86" s="1" t="s">
        <v>12</v>
      </c>
      <c r="B86" s="2" t="s">
        <v>4</v>
      </c>
      <c r="C86" s="2" t="s">
        <v>8</v>
      </c>
      <c r="D86" s="2">
        <v>10</v>
      </c>
      <c r="E86" s="2" t="s">
        <v>77</v>
      </c>
      <c r="F86" s="2">
        <v>7</v>
      </c>
      <c r="G86" s="2" t="s">
        <v>176</v>
      </c>
      <c r="H86" s="2">
        <v>3052</v>
      </c>
      <c r="I86" s="2">
        <v>217.96600000000001</v>
      </c>
      <c r="J86" s="2">
        <v>1655</v>
      </c>
      <c r="K86" s="2">
        <v>1215</v>
      </c>
      <c r="L86" s="2">
        <v>78</v>
      </c>
      <c r="M86" s="2">
        <v>54</v>
      </c>
      <c r="N86" s="2">
        <v>0.80700000000000005</v>
      </c>
      <c r="O86" s="2">
        <v>1.6259999999999999</v>
      </c>
      <c r="P86" s="2">
        <v>0.61499999999999999</v>
      </c>
      <c r="Q86" s="13">
        <v>0.96199999999999997</v>
      </c>
    </row>
    <row r="87" spans="1:17">
      <c r="A87" s="1" t="s">
        <v>12</v>
      </c>
      <c r="B87" s="2" t="s">
        <v>4</v>
      </c>
      <c r="C87" s="2" t="s">
        <v>8</v>
      </c>
      <c r="D87" s="2">
        <v>10</v>
      </c>
      <c r="E87" s="2" t="s">
        <v>77</v>
      </c>
      <c r="F87" s="2">
        <v>8</v>
      </c>
      <c r="G87" s="2" t="s">
        <v>177</v>
      </c>
      <c r="H87" s="2">
        <v>3003</v>
      </c>
      <c r="I87" s="2">
        <v>211.238</v>
      </c>
      <c r="J87" s="2">
        <v>1889</v>
      </c>
      <c r="K87" s="2">
        <v>1257</v>
      </c>
      <c r="L87" s="2">
        <v>69</v>
      </c>
      <c r="M87" s="2">
        <v>58</v>
      </c>
      <c r="N87" s="2">
        <v>0.84599999999999997</v>
      </c>
      <c r="O87" s="2">
        <v>1.415</v>
      </c>
      <c r="P87" s="2">
        <v>0.70699999999999996</v>
      </c>
      <c r="Q87" s="13">
        <v>0.97</v>
      </c>
    </row>
    <row r="88" spans="1:17">
      <c r="A88" s="1" t="s">
        <v>12</v>
      </c>
      <c r="B88" s="2" t="s">
        <v>4</v>
      </c>
      <c r="C88" s="2" t="s">
        <v>8</v>
      </c>
      <c r="D88" s="2">
        <v>10</v>
      </c>
      <c r="E88" s="2" t="s">
        <v>77</v>
      </c>
      <c r="F88" s="2">
        <v>9</v>
      </c>
      <c r="G88" s="2" t="s">
        <v>178</v>
      </c>
      <c r="H88" s="2">
        <v>2446</v>
      </c>
      <c r="I88" s="2">
        <v>187.92400000000001</v>
      </c>
      <c r="J88" s="2">
        <v>1685</v>
      </c>
      <c r="K88" s="2">
        <v>1276</v>
      </c>
      <c r="L88" s="2">
        <v>61</v>
      </c>
      <c r="M88" s="2">
        <v>52</v>
      </c>
      <c r="N88" s="2">
        <v>0.87</v>
      </c>
      <c r="O88" s="2">
        <v>1.204</v>
      </c>
      <c r="P88" s="2">
        <v>0.83099999999999996</v>
      </c>
      <c r="Q88" s="13">
        <v>0.96899999999999997</v>
      </c>
    </row>
    <row r="89" spans="1:17">
      <c r="A89" s="1" t="s">
        <v>12</v>
      </c>
      <c r="B89" s="2" t="s">
        <v>4</v>
      </c>
      <c r="C89" s="2" t="s">
        <v>8</v>
      </c>
      <c r="D89" s="2">
        <v>10</v>
      </c>
      <c r="E89" s="2" t="s">
        <v>77</v>
      </c>
      <c r="F89" s="2">
        <v>10</v>
      </c>
      <c r="G89" s="2" t="s">
        <v>179</v>
      </c>
      <c r="H89" s="2">
        <v>3586</v>
      </c>
      <c r="I89" s="2">
        <v>226.89400000000001</v>
      </c>
      <c r="J89" s="2">
        <v>1758</v>
      </c>
      <c r="K89" s="2">
        <v>1293</v>
      </c>
      <c r="L89" s="2">
        <v>63</v>
      </c>
      <c r="M89" s="2">
        <v>73</v>
      </c>
      <c r="N89" s="2">
        <v>0.875</v>
      </c>
      <c r="O89" s="2">
        <v>1.2170000000000001</v>
      </c>
      <c r="P89" s="2">
        <v>0.82199999999999995</v>
      </c>
      <c r="Q89" s="13">
        <v>0.97199999999999998</v>
      </c>
    </row>
    <row r="90" spans="1:17">
      <c r="A90" s="1" t="s">
        <v>12</v>
      </c>
      <c r="B90" s="2" t="s">
        <v>4</v>
      </c>
      <c r="C90" s="2" t="s">
        <v>8</v>
      </c>
      <c r="D90" s="2">
        <v>10</v>
      </c>
      <c r="E90" s="2" t="s">
        <v>77</v>
      </c>
      <c r="F90" s="16">
        <v>11</v>
      </c>
      <c r="G90" s="16" t="s">
        <v>180</v>
      </c>
      <c r="H90" s="16">
        <v>2883</v>
      </c>
      <c r="I90" s="16">
        <v>230.93600000000001</v>
      </c>
      <c r="J90" s="16">
        <v>1836</v>
      </c>
      <c r="K90" s="16">
        <v>1309</v>
      </c>
      <c r="L90" s="16">
        <v>60</v>
      </c>
      <c r="M90" s="16">
        <v>75</v>
      </c>
      <c r="N90" s="16">
        <v>0.67900000000000005</v>
      </c>
      <c r="O90" s="16">
        <v>1.1499999999999999</v>
      </c>
      <c r="P90" s="16">
        <v>0.87</v>
      </c>
      <c r="Q90" s="17">
        <v>0.90300000000000002</v>
      </c>
    </row>
    <row r="91" spans="1:17">
      <c r="A91" s="1" t="s">
        <v>12</v>
      </c>
      <c r="B91" s="2" t="s">
        <v>4</v>
      </c>
      <c r="C91" s="2" t="s">
        <v>8</v>
      </c>
      <c r="D91" s="2">
        <v>11</v>
      </c>
      <c r="E91" s="2" t="s">
        <v>77</v>
      </c>
      <c r="F91" s="2">
        <v>1</v>
      </c>
      <c r="G91" s="2" t="s">
        <v>181</v>
      </c>
      <c r="H91" s="2">
        <v>3826</v>
      </c>
      <c r="I91" s="2">
        <v>231.72300000000001</v>
      </c>
      <c r="J91" s="2">
        <v>1805</v>
      </c>
      <c r="K91" s="2">
        <v>903</v>
      </c>
      <c r="L91" s="2">
        <v>65</v>
      </c>
      <c r="M91" s="2">
        <v>74</v>
      </c>
      <c r="N91" s="2">
        <v>0.89500000000000002</v>
      </c>
      <c r="O91" s="2">
        <v>1.1819999999999999</v>
      </c>
      <c r="P91" s="2">
        <v>0.84599999999999997</v>
      </c>
      <c r="Q91" s="13">
        <v>0.97799999999999998</v>
      </c>
    </row>
    <row r="92" spans="1:17">
      <c r="A92" s="1" t="s">
        <v>12</v>
      </c>
      <c r="B92" s="2" t="s">
        <v>4</v>
      </c>
      <c r="C92" s="2" t="s">
        <v>8</v>
      </c>
      <c r="D92" s="2">
        <v>11</v>
      </c>
      <c r="E92" s="2" t="s">
        <v>77</v>
      </c>
      <c r="F92" s="2">
        <v>2</v>
      </c>
      <c r="G92" s="2" t="s">
        <v>182</v>
      </c>
      <c r="H92" s="2">
        <v>3782</v>
      </c>
      <c r="I92" s="2">
        <v>232.79400000000001</v>
      </c>
      <c r="J92" s="2">
        <v>1704</v>
      </c>
      <c r="K92" s="2">
        <v>931</v>
      </c>
      <c r="L92" s="2">
        <v>68</v>
      </c>
      <c r="M92" s="2">
        <v>73</v>
      </c>
      <c r="N92" s="2">
        <v>0.877</v>
      </c>
      <c r="O92" s="2">
        <v>1.286</v>
      </c>
      <c r="P92" s="2">
        <v>0.77800000000000002</v>
      </c>
      <c r="Q92" s="13">
        <v>0.97499999999999998</v>
      </c>
    </row>
    <row r="93" spans="1:17">
      <c r="A93" s="1" t="s">
        <v>12</v>
      </c>
      <c r="B93" s="2" t="s">
        <v>4</v>
      </c>
      <c r="C93" s="2" t="s">
        <v>8</v>
      </c>
      <c r="D93" s="2">
        <v>11</v>
      </c>
      <c r="E93" s="2" t="s">
        <v>77</v>
      </c>
      <c r="F93" s="2">
        <v>3</v>
      </c>
      <c r="G93" s="2" t="s">
        <v>183</v>
      </c>
      <c r="H93" s="2">
        <v>5273</v>
      </c>
      <c r="I93" s="2">
        <v>273.76499999999999</v>
      </c>
      <c r="J93" s="2">
        <v>1896</v>
      </c>
      <c r="K93" s="2">
        <v>934</v>
      </c>
      <c r="L93" s="2">
        <v>81</v>
      </c>
      <c r="M93" s="2">
        <v>84</v>
      </c>
      <c r="N93" s="2">
        <v>0.88400000000000001</v>
      </c>
      <c r="O93" s="2">
        <v>1.2669999999999999</v>
      </c>
      <c r="P93" s="2">
        <v>0.78900000000000003</v>
      </c>
      <c r="Q93" s="13">
        <v>0.98</v>
      </c>
    </row>
    <row r="94" spans="1:17">
      <c r="A94" s="1" t="s">
        <v>12</v>
      </c>
      <c r="B94" s="2" t="s">
        <v>4</v>
      </c>
      <c r="C94" s="2" t="s">
        <v>8</v>
      </c>
      <c r="D94" s="2">
        <v>11</v>
      </c>
      <c r="E94" s="2" t="s">
        <v>77</v>
      </c>
      <c r="F94" s="2">
        <v>4</v>
      </c>
      <c r="G94" s="2" t="s">
        <v>184</v>
      </c>
      <c r="H94" s="2">
        <v>4618</v>
      </c>
      <c r="I94" s="2">
        <v>256.93599999999998</v>
      </c>
      <c r="J94" s="2">
        <v>1960</v>
      </c>
      <c r="K94" s="2">
        <v>1006</v>
      </c>
      <c r="L94" s="2">
        <v>86</v>
      </c>
      <c r="M94" s="2">
        <v>70</v>
      </c>
      <c r="N94" s="2">
        <v>0.879</v>
      </c>
      <c r="O94" s="2">
        <v>1.24</v>
      </c>
      <c r="P94" s="2">
        <v>0.80700000000000005</v>
      </c>
      <c r="Q94" s="13">
        <v>0.98</v>
      </c>
    </row>
    <row r="95" spans="1:17">
      <c r="A95" s="1" t="s">
        <v>12</v>
      </c>
      <c r="B95" s="2" t="s">
        <v>4</v>
      </c>
      <c r="C95" s="2" t="s">
        <v>8</v>
      </c>
      <c r="D95" s="2">
        <v>11</v>
      </c>
      <c r="E95" s="2" t="s">
        <v>77</v>
      </c>
      <c r="F95" s="2">
        <v>5</v>
      </c>
      <c r="G95" s="2" t="s">
        <v>185</v>
      </c>
      <c r="H95" s="2">
        <v>4800</v>
      </c>
      <c r="I95" s="2">
        <v>261.52199999999999</v>
      </c>
      <c r="J95" s="2">
        <v>1634</v>
      </c>
      <c r="K95" s="2">
        <v>1004</v>
      </c>
      <c r="L95" s="2">
        <v>83</v>
      </c>
      <c r="M95" s="2">
        <v>75</v>
      </c>
      <c r="N95" s="2">
        <v>0.88200000000000001</v>
      </c>
      <c r="O95" s="2">
        <v>1.196</v>
      </c>
      <c r="P95" s="2">
        <v>0.83599999999999997</v>
      </c>
      <c r="Q95" s="13">
        <v>0.97799999999999998</v>
      </c>
    </row>
    <row r="96" spans="1:17">
      <c r="A96" s="1" t="s">
        <v>12</v>
      </c>
      <c r="B96" s="2" t="s">
        <v>4</v>
      </c>
      <c r="C96" s="2" t="s">
        <v>8</v>
      </c>
      <c r="D96" s="2">
        <v>11</v>
      </c>
      <c r="E96" s="2" t="s">
        <v>77</v>
      </c>
      <c r="F96" s="2">
        <v>6</v>
      </c>
      <c r="G96" s="2" t="s">
        <v>186</v>
      </c>
      <c r="H96" s="2">
        <v>4432</v>
      </c>
      <c r="I96" s="2">
        <v>250.45099999999999</v>
      </c>
      <c r="J96" s="2">
        <v>1995</v>
      </c>
      <c r="K96" s="2">
        <v>1096</v>
      </c>
      <c r="L96" s="2">
        <v>81</v>
      </c>
      <c r="M96" s="2">
        <v>70</v>
      </c>
      <c r="N96" s="2">
        <v>0.88800000000000001</v>
      </c>
      <c r="O96" s="2">
        <v>1.143</v>
      </c>
      <c r="P96" s="2">
        <v>0.875</v>
      </c>
      <c r="Q96" s="13">
        <v>0.97599999999999998</v>
      </c>
    </row>
    <row r="97" spans="1:17">
      <c r="A97" s="1" t="s">
        <v>12</v>
      </c>
      <c r="B97" s="2" t="s">
        <v>4</v>
      </c>
      <c r="C97" s="2" t="s">
        <v>8</v>
      </c>
      <c r="D97" s="2">
        <v>11</v>
      </c>
      <c r="E97" s="2" t="s">
        <v>77</v>
      </c>
      <c r="F97" s="2">
        <v>7</v>
      </c>
      <c r="G97" s="2" t="s">
        <v>187</v>
      </c>
      <c r="H97" s="2">
        <v>5162</v>
      </c>
      <c r="I97" s="2">
        <v>270.59300000000002</v>
      </c>
      <c r="J97" s="2">
        <v>1633</v>
      </c>
      <c r="K97" s="2">
        <v>1108</v>
      </c>
      <c r="L97" s="2">
        <v>90</v>
      </c>
      <c r="M97" s="2">
        <v>74</v>
      </c>
      <c r="N97" s="2">
        <v>0.88600000000000001</v>
      </c>
      <c r="O97" s="2">
        <v>1.226</v>
      </c>
      <c r="P97" s="2">
        <v>0.81599999999999995</v>
      </c>
      <c r="Q97" s="13">
        <v>0.97899999999999998</v>
      </c>
    </row>
    <row r="98" spans="1:17">
      <c r="A98" s="1" t="s">
        <v>12</v>
      </c>
      <c r="B98" s="2" t="s">
        <v>4</v>
      </c>
      <c r="C98" s="2" t="s">
        <v>8</v>
      </c>
      <c r="D98" s="2">
        <v>11</v>
      </c>
      <c r="E98" s="2" t="s">
        <v>77</v>
      </c>
      <c r="F98" s="2">
        <v>8</v>
      </c>
      <c r="G98" s="2" t="s">
        <v>188</v>
      </c>
      <c r="H98" s="2">
        <v>4961</v>
      </c>
      <c r="I98" s="2">
        <v>264.59300000000002</v>
      </c>
      <c r="J98" s="2">
        <v>1944</v>
      </c>
      <c r="K98" s="2">
        <v>1171</v>
      </c>
      <c r="L98" s="2">
        <v>81</v>
      </c>
      <c r="M98" s="2">
        <v>80</v>
      </c>
      <c r="N98" s="2">
        <v>0.89</v>
      </c>
      <c r="O98" s="2">
        <v>1.0780000000000001</v>
      </c>
      <c r="P98" s="2">
        <v>0.92800000000000005</v>
      </c>
      <c r="Q98" s="13">
        <v>0.98</v>
      </c>
    </row>
    <row r="99" spans="1:17">
      <c r="A99" s="1" t="s">
        <v>12</v>
      </c>
      <c r="B99" s="2" t="s">
        <v>4</v>
      </c>
      <c r="C99" s="2" t="s">
        <v>8</v>
      </c>
      <c r="D99" s="2">
        <v>11</v>
      </c>
      <c r="E99" s="2" t="s">
        <v>77</v>
      </c>
      <c r="F99" s="2">
        <v>9</v>
      </c>
      <c r="G99" s="2" t="s">
        <v>189</v>
      </c>
      <c r="H99" s="2">
        <v>4435</v>
      </c>
      <c r="I99" s="2">
        <v>249.52199999999999</v>
      </c>
      <c r="J99" s="2">
        <v>1680</v>
      </c>
      <c r="K99" s="2">
        <v>1204</v>
      </c>
      <c r="L99" s="2">
        <v>76</v>
      </c>
      <c r="M99" s="2">
        <v>76</v>
      </c>
      <c r="N99" s="2">
        <v>0.89500000000000002</v>
      </c>
      <c r="O99" s="2">
        <v>1.085</v>
      </c>
      <c r="P99" s="2">
        <v>0.92200000000000004</v>
      </c>
      <c r="Q99" s="13">
        <v>0.97799999999999998</v>
      </c>
    </row>
    <row r="100" spans="1:17">
      <c r="A100" s="1" t="s">
        <v>12</v>
      </c>
      <c r="B100" s="2" t="s">
        <v>4</v>
      </c>
      <c r="C100" s="2" t="s">
        <v>8</v>
      </c>
      <c r="D100" s="2">
        <v>11</v>
      </c>
      <c r="E100" s="2" t="s">
        <v>77</v>
      </c>
      <c r="F100" s="2">
        <v>10</v>
      </c>
      <c r="G100" s="2" t="s">
        <v>190</v>
      </c>
      <c r="H100" s="2">
        <v>4517</v>
      </c>
      <c r="I100" s="2">
        <v>258.69299999999998</v>
      </c>
      <c r="J100" s="2">
        <v>1878</v>
      </c>
      <c r="K100" s="2">
        <v>1226</v>
      </c>
      <c r="L100" s="2">
        <v>67</v>
      </c>
      <c r="M100" s="2">
        <v>89</v>
      </c>
      <c r="N100" s="2">
        <v>0.84799999999999998</v>
      </c>
      <c r="O100" s="2">
        <v>1.508</v>
      </c>
      <c r="P100" s="2">
        <v>0.66300000000000003</v>
      </c>
      <c r="Q100" s="13">
        <v>0.97599999999999998</v>
      </c>
    </row>
    <row r="101" spans="1:17">
      <c r="A101" s="1" t="s">
        <v>12</v>
      </c>
      <c r="B101" s="2" t="s">
        <v>4</v>
      </c>
      <c r="C101" s="2" t="s">
        <v>8</v>
      </c>
      <c r="D101" s="2">
        <v>11</v>
      </c>
      <c r="E101" s="2" t="s">
        <v>77</v>
      </c>
      <c r="F101" s="16">
        <v>11</v>
      </c>
      <c r="G101" s="16" t="s">
        <v>191</v>
      </c>
      <c r="H101" s="16">
        <v>5488</v>
      </c>
      <c r="I101" s="16">
        <v>294.25</v>
      </c>
      <c r="J101" s="16">
        <v>1795</v>
      </c>
      <c r="K101" s="16">
        <v>1236</v>
      </c>
      <c r="L101" s="16">
        <v>77</v>
      </c>
      <c r="M101" s="16">
        <v>95</v>
      </c>
      <c r="N101" s="16">
        <v>0.79700000000000004</v>
      </c>
      <c r="O101" s="16">
        <v>1.2470000000000001</v>
      </c>
      <c r="P101" s="16">
        <v>0.80200000000000005</v>
      </c>
      <c r="Q101" s="17">
        <v>0.96</v>
      </c>
    </row>
    <row r="102" spans="1:17">
      <c r="A102" s="1" t="s">
        <v>12</v>
      </c>
      <c r="B102" s="2" t="s">
        <v>4</v>
      </c>
      <c r="C102" s="2" t="s">
        <v>8</v>
      </c>
      <c r="D102" s="2">
        <v>12</v>
      </c>
      <c r="E102" s="2" t="s">
        <v>77</v>
      </c>
      <c r="F102" s="2">
        <v>1</v>
      </c>
      <c r="G102" s="2" t="s">
        <v>192</v>
      </c>
      <c r="H102" s="2">
        <v>3085</v>
      </c>
      <c r="I102" s="2">
        <v>208.167</v>
      </c>
      <c r="J102" s="2">
        <v>1790</v>
      </c>
      <c r="K102" s="2">
        <v>1092</v>
      </c>
      <c r="L102" s="2">
        <v>62</v>
      </c>
      <c r="M102" s="2">
        <v>62</v>
      </c>
      <c r="N102" s="2">
        <v>0.89500000000000002</v>
      </c>
      <c r="O102" s="2">
        <v>1.0049999999999999</v>
      </c>
      <c r="P102" s="2">
        <v>0.995</v>
      </c>
      <c r="Q102" s="13">
        <v>0.97599999999999998</v>
      </c>
    </row>
    <row r="103" spans="1:17">
      <c r="A103" s="1" t="s">
        <v>12</v>
      </c>
      <c r="B103" s="2" t="s">
        <v>4</v>
      </c>
      <c r="C103" s="2" t="s">
        <v>8</v>
      </c>
      <c r="D103" s="2">
        <v>12</v>
      </c>
      <c r="E103" s="2" t="s">
        <v>77</v>
      </c>
      <c r="F103" s="2">
        <v>2</v>
      </c>
      <c r="G103" s="2" t="s">
        <v>193</v>
      </c>
      <c r="H103" s="2">
        <v>3111</v>
      </c>
      <c r="I103" s="2">
        <v>207.96600000000001</v>
      </c>
      <c r="J103" s="2">
        <v>1698</v>
      </c>
      <c r="K103" s="2">
        <v>1108</v>
      </c>
      <c r="L103" s="2">
        <v>63</v>
      </c>
      <c r="M103" s="2">
        <v>65</v>
      </c>
      <c r="N103" s="2">
        <v>0.90400000000000003</v>
      </c>
      <c r="O103" s="2">
        <v>1.1220000000000001</v>
      </c>
      <c r="P103" s="2">
        <v>0.89100000000000001</v>
      </c>
      <c r="Q103" s="13">
        <v>0.97399999999999998</v>
      </c>
    </row>
    <row r="104" spans="1:17">
      <c r="A104" s="1" t="s">
        <v>12</v>
      </c>
      <c r="B104" s="2" t="s">
        <v>4</v>
      </c>
      <c r="C104" s="2" t="s">
        <v>8</v>
      </c>
      <c r="D104" s="2">
        <v>12</v>
      </c>
      <c r="E104" s="2" t="s">
        <v>77</v>
      </c>
      <c r="F104" s="2">
        <v>3</v>
      </c>
      <c r="G104" s="2" t="s">
        <v>194</v>
      </c>
      <c r="H104" s="2">
        <v>2946</v>
      </c>
      <c r="I104" s="2">
        <v>203.82300000000001</v>
      </c>
      <c r="J104" s="2">
        <v>1867</v>
      </c>
      <c r="K104" s="2">
        <v>1140</v>
      </c>
      <c r="L104" s="2">
        <v>60</v>
      </c>
      <c r="M104" s="2">
        <v>63</v>
      </c>
      <c r="N104" s="2">
        <v>0.89100000000000001</v>
      </c>
      <c r="O104" s="2">
        <v>1.21</v>
      </c>
      <c r="P104" s="2">
        <v>0.82599999999999996</v>
      </c>
      <c r="Q104" s="13">
        <v>0.97599999999999998</v>
      </c>
    </row>
    <row r="105" spans="1:17">
      <c r="A105" s="1" t="s">
        <v>12</v>
      </c>
      <c r="B105" s="2" t="s">
        <v>4</v>
      </c>
      <c r="C105" s="2" t="s">
        <v>8</v>
      </c>
      <c r="D105" s="2">
        <v>12</v>
      </c>
      <c r="E105" s="2" t="s">
        <v>77</v>
      </c>
      <c r="F105" s="2">
        <v>4</v>
      </c>
      <c r="G105" s="2" t="s">
        <v>195</v>
      </c>
      <c r="H105" s="2">
        <v>3980</v>
      </c>
      <c r="I105" s="2">
        <v>236.69300000000001</v>
      </c>
      <c r="J105" s="2">
        <v>1633</v>
      </c>
      <c r="K105" s="2">
        <v>1168</v>
      </c>
      <c r="L105" s="2">
        <v>74</v>
      </c>
      <c r="M105" s="2">
        <v>71</v>
      </c>
      <c r="N105" s="2">
        <v>0.89300000000000002</v>
      </c>
      <c r="O105" s="2">
        <v>1.1910000000000001</v>
      </c>
      <c r="P105" s="2">
        <v>0.84</v>
      </c>
      <c r="Q105" s="13">
        <v>0.97699999999999998</v>
      </c>
    </row>
    <row r="106" spans="1:17">
      <c r="A106" s="1" t="s">
        <v>12</v>
      </c>
      <c r="B106" s="2" t="s">
        <v>4</v>
      </c>
      <c r="C106" s="2" t="s">
        <v>8</v>
      </c>
      <c r="D106" s="2">
        <v>12</v>
      </c>
      <c r="E106" s="2" t="s">
        <v>77</v>
      </c>
      <c r="F106" s="2">
        <v>5</v>
      </c>
      <c r="G106" s="2" t="s">
        <v>196</v>
      </c>
      <c r="H106" s="2">
        <v>3561</v>
      </c>
      <c r="I106" s="2">
        <v>229.38</v>
      </c>
      <c r="J106" s="2">
        <v>1900</v>
      </c>
      <c r="K106" s="2">
        <v>1209</v>
      </c>
      <c r="L106" s="2">
        <v>77</v>
      </c>
      <c r="M106" s="2">
        <v>62</v>
      </c>
      <c r="N106" s="2">
        <v>0.85</v>
      </c>
      <c r="O106" s="2">
        <v>1.3959999999999999</v>
      </c>
      <c r="P106" s="2">
        <v>0.71599999999999997</v>
      </c>
      <c r="Q106" s="13">
        <v>0.97</v>
      </c>
    </row>
    <row r="107" spans="1:17">
      <c r="A107" s="1" t="s">
        <v>12</v>
      </c>
      <c r="B107" s="2" t="s">
        <v>4</v>
      </c>
      <c r="C107" s="2" t="s">
        <v>8</v>
      </c>
      <c r="D107" s="2">
        <v>12</v>
      </c>
      <c r="E107" s="2" t="s">
        <v>77</v>
      </c>
      <c r="F107" s="2">
        <v>6</v>
      </c>
      <c r="G107" s="2" t="s">
        <v>197</v>
      </c>
      <c r="H107" s="2">
        <v>3441</v>
      </c>
      <c r="I107" s="2">
        <v>235.38</v>
      </c>
      <c r="J107" s="2">
        <v>1595</v>
      </c>
      <c r="K107" s="2">
        <v>1246</v>
      </c>
      <c r="L107" s="2">
        <v>72</v>
      </c>
      <c r="M107" s="2">
        <v>69</v>
      </c>
      <c r="N107" s="2">
        <v>0.78</v>
      </c>
      <c r="O107" s="2">
        <v>1.536</v>
      </c>
      <c r="P107" s="2">
        <v>0.65100000000000002</v>
      </c>
      <c r="Q107" s="13">
        <v>0.94</v>
      </c>
    </row>
    <row r="108" spans="1:17">
      <c r="A108" s="1" t="s">
        <v>12</v>
      </c>
      <c r="B108" s="2" t="s">
        <v>4</v>
      </c>
      <c r="C108" s="2" t="s">
        <v>8</v>
      </c>
      <c r="D108" s="2">
        <v>12</v>
      </c>
      <c r="E108" s="2" t="s">
        <v>77</v>
      </c>
      <c r="F108" s="2">
        <v>7</v>
      </c>
      <c r="G108" s="2" t="s">
        <v>198</v>
      </c>
      <c r="H108" s="2">
        <v>2983</v>
      </c>
      <c r="I108" s="2">
        <v>206.995</v>
      </c>
      <c r="J108" s="2">
        <v>1927</v>
      </c>
      <c r="K108" s="2">
        <v>1295</v>
      </c>
      <c r="L108" s="2">
        <v>68</v>
      </c>
      <c r="M108" s="2">
        <v>56</v>
      </c>
      <c r="N108" s="2">
        <v>0.875</v>
      </c>
      <c r="O108" s="2">
        <v>1.2070000000000001</v>
      </c>
      <c r="P108" s="2">
        <v>0.82899999999999996</v>
      </c>
      <c r="Q108" s="13">
        <v>0.97099999999999997</v>
      </c>
    </row>
    <row r="109" spans="1:17">
      <c r="A109" s="1" t="s">
        <v>12</v>
      </c>
      <c r="B109" s="2" t="s">
        <v>4</v>
      </c>
      <c r="C109" s="2" t="s">
        <v>8</v>
      </c>
      <c r="D109" s="2">
        <v>12</v>
      </c>
      <c r="E109" s="2" t="s">
        <v>77</v>
      </c>
      <c r="F109" s="2">
        <v>8</v>
      </c>
      <c r="G109" s="2" t="s">
        <v>199</v>
      </c>
      <c r="H109" s="2">
        <v>4085</v>
      </c>
      <c r="I109" s="2">
        <v>238.208</v>
      </c>
      <c r="J109" s="2">
        <v>1621</v>
      </c>
      <c r="K109" s="2">
        <v>1352</v>
      </c>
      <c r="L109" s="2">
        <v>73</v>
      </c>
      <c r="M109" s="2">
        <v>71</v>
      </c>
      <c r="N109" s="2">
        <v>0.90500000000000003</v>
      </c>
      <c r="O109" s="2">
        <v>1.0840000000000001</v>
      </c>
      <c r="P109" s="2">
        <v>0.92300000000000004</v>
      </c>
      <c r="Q109" s="13">
        <v>0.97899999999999998</v>
      </c>
    </row>
    <row r="110" spans="1:17">
      <c r="A110" s="1" t="s">
        <v>12</v>
      </c>
      <c r="B110" s="2" t="s">
        <v>4</v>
      </c>
      <c r="C110" s="2" t="s">
        <v>8</v>
      </c>
      <c r="D110" s="2">
        <v>12</v>
      </c>
      <c r="E110" s="2" t="s">
        <v>77</v>
      </c>
      <c r="F110" s="2">
        <v>9</v>
      </c>
      <c r="G110" s="2" t="s">
        <v>200</v>
      </c>
      <c r="H110" s="2">
        <v>4061</v>
      </c>
      <c r="I110" s="2">
        <v>237.62200000000001</v>
      </c>
      <c r="J110" s="2">
        <v>1877</v>
      </c>
      <c r="K110" s="2">
        <v>1382</v>
      </c>
      <c r="L110" s="2">
        <v>74</v>
      </c>
      <c r="M110" s="2">
        <v>70</v>
      </c>
      <c r="N110" s="2">
        <v>0.90400000000000003</v>
      </c>
      <c r="O110" s="2">
        <v>1.125</v>
      </c>
      <c r="P110" s="2">
        <v>0.88900000000000001</v>
      </c>
      <c r="Q110" s="13">
        <v>0.97799999999999998</v>
      </c>
    </row>
    <row r="111" spans="1:17">
      <c r="A111" s="1" t="s">
        <v>12</v>
      </c>
      <c r="B111" s="2" t="s">
        <v>4</v>
      </c>
      <c r="C111" s="2" t="s">
        <v>8</v>
      </c>
      <c r="D111" s="2">
        <v>12</v>
      </c>
      <c r="E111" s="2" t="s">
        <v>77</v>
      </c>
      <c r="F111" s="2">
        <v>10</v>
      </c>
      <c r="G111" s="2" t="s">
        <v>201</v>
      </c>
      <c r="H111" s="2">
        <v>3830</v>
      </c>
      <c r="I111" s="2">
        <v>232.79400000000001</v>
      </c>
      <c r="J111" s="2">
        <v>1692</v>
      </c>
      <c r="K111" s="2">
        <v>1410</v>
      </c>
      <c r="L111" s="2">
        <v>68</v>
      </c>
      <c r="M111" s="2">
        <v>73</v>
      </c>
      <c r="N111" s="2">
        <v>0.88800000000000001</v>
      </c>
      <c r="O111" s="2">
        <v>1.175</v>
      </c>
      <c r="P111" s="2">
        <v>0.85099999999999998</v>
      </c>
      <c r="Q111" s="13">
        <v>0.97599999999999998</v>
      </c>
    </row>
    <row r="112" spans="1:17">
      <c r="A112" s="1" t="s">
        <v>12</v>
      </c>
      <c r="B112" s="2" t="s">
        <v>4</v>
      </c>
      <c r="C112" s="2" t="s">
        <v>8</v>
      </c>
      <c r="D112" s="2">
        <v>12</v>
      </c>
      <c r="E112" s="2" t="s">
        <v>77</v>
      </c>
      <c r="F112" s="16">
        <v>11</v>
      </c>
      <c r="G112" s="16" t="s">
        <v>202</v>
      </c>
      <c r="H112" s="16">
        <v>3299</v>
      </c>
      <c r="I112" s="16">
        <v>218.066</v>
      </c>
      <c r="J112" s="16">
        <v>1795</v>
      </c>
      <c r="K112" s="16">
        <v>1419</v>
      </c>
      <c r="L112" s="16">
        <v>57</v>
      </c>
      <c r="M112" s="16">
        <v>73</v>
      </c>
      <c r="N112" s="16">
        <v>0.872</v>
      </c>
      <c r="O112" s="16">
        <v>1.2689999999999999</v>
      </c>
      <c r="P112" s="16">
        <v>0.78800000000000003</v>
      </c>
      <c r="Q112" s="17">
        <v>0.97299999999999998</v>
      </c>
    </row>
    <row r="113" spans="1:17">
      <c r="A113" s="1" t="s">
        <v>12</v>
      </c>
      <c r="B113" s="2" t="s">
        <v>4</v>
      </c>
      <c r="C113" s="2" t="s">
        <v>8</v>
      </c>
      <c r="D113" s="2">
        <v>13</v>
      </c>
      <c r="E113" s="2" t="s">
        <v>77</v>
      </c>
      <c r="F113" s="2">
        <v>1</v>
      </c>
      <c r="G113" s="2" t="s">
        <v>203</v>
      </c>
      <c r="H113" s="2">
        <v>5012</v>
      </c>
      <c r="I113" s="2">
        <v>269.42099999999999</v>
      </c>
      <c r="J113" s="2">
        <v>2051</v>
      </c>
      <c r="K113" s="2">
        <v>837</v>
      </c>
      <c r="L113" s="2">
        <v>78</v>
      </c>
      <c r="M113" s="2">
        <v>86</v>
      </c>
      <c r="N113" s="2">
        <v>0.86799999999999999</v>
      </c>
      <c r="O113" s="2">
        <v>1.2290000000000001</v>
      </c>
      <c r="P113" s="2">
        <v>0.81399999999999995</v>
      </c>
      <c r="Q113" s="13">
        <v>0.97599999999999998</v>
      </c>
    </row>
    <row r="114" spans="1:17">
      <c r="A114" s="1" t="s">
        <v>12</v>
      </c>
      <c r="B114" s="2" t="s">
        <v>4</v>
      </c>
      <c r="C114" s="2" t="s">
        <v>8</v>
      </c>
      <c r="D114" s="2">
        <v>13</v>
      </c>
      <c r="E114" s="2" t="s">
        <v>77</v>
      </c>
      <c r="F114" s="2">
        <v>2</v>
      </c>
      <c r="G114" s="2" t="s">
        <v>204</v>
      </c>
      <c r="H114" s="2">
        <v>5874</v>
      </c>
      <c r="I114" s="2">
        <v>313.80599999999998</v>
      </c>
      <c r="J114" s="2">
        <v>2172</v>
      </c>
      <c r="K114" s="2">
        <v>859</v>
      </c>
      <c r="L114" s="2">
        <v>80</v>
      </c>
      <c r="M114" s="2">
        <v>107</v>
      </c>
      <c r="N114" s="2">
        <v>0.75</v>
      </c>
      <c r="O114" s="2">
        <v>1.3220000000000001</v>
      </c>
      <c r="P114" s="2">
        <v>0.75600000000000001</v>
      </c>
      <c r="Q114" s="13">
        <v>0.94199999999999995</v>
      </c>
    </row>
    <row r="115" spans="1:17">
      <c r="A115" s="1" t="s">
        <v>12</v>
      </c>
      <c r="B115" s="2" t="s">
        <v>4</v>
      </c>
      <c r="C115" s="2" t="s">
        <v>8</v>
      </c>
      <c r="D115" s="2">
        <v>13</v>
      </c>
      <c r="E115" s="2" t="s">
        <v>77</v>
      </c>
      <c r="F115" s="2">
        <v>3</v>
      </c>
      <c r="G115" s="2" t="s">
        <v>205</v>
      </c>
      <c r="H115" s="2">
        <v>6174</v>
      </c>
      <c r="I115" s="2">
        <v>302.149</v>
      </c>
      <c r="J115" s="2">
        <v>1958</v>
      </c>
      <c r="K115" s="2">
        <v>878</v>
      </c>
      <c r="L115" s="2">
        <v>88</v>
      </c>
      <c r="M115" s="2">
        <v>95</v>
      </c>
      <c r="N115" s="2">
        <v>0.85</v>
      </c>
      <c r="O115" s="2">
        <v>1.387</v>
      </c>
      <c r="P115" s="2">
        <v>0.72099999999999997</v>
      </c>
      <c r="Q115" s="13">
        <v>0.97099999999999997</v>
      </c>
    </row>
    <row r="116" spans="1:17">
      <c r="A116" s="1" t="s">
        <v>12</v>
      </c>
      <c r="B116" s="2" t="s">
        <v>4</v>
      </c>
      <c r="C116" s="2" t="s">
        <v>8</v>
      </c>
      <c r="D116" s="2">
        <v>13</v>
      </c>
      <c r="E116" s="2" t="s">
        <v>77</v>
      </c>
      <c r="F116" s="2">
        <v>4</v>
      </c>
      <c r="G116" s="2" t="s">
        <v>206</v>
      </c>
      <c r="H116" s="2">
        <v>6341</v>
      </c>
      <c r="I116" s="2">
        <v>298.49200000000002</v>
      </c>
      <c r="J116" s="2">
        <v>2269</v>
      </c>
      <c r="K116" s="2">
        <v>949</v>
      </c>
      <c r="L116" s="2">
        <v>96</v>
      </c>
      <c r="M116" s="2">
        <v>84</v>
      </c>
      <c r="N116" s="2">
        <v>0.89400000000000002</v>
      </c>
      <c r="O116" s="2">
        <v>1.167</v>
      </c>
      <c r="P116" s="2">
        <v>0.85699999999999998</v>
      </c>
      <c r="Q116" s="13">
        <v>0.97799999999999998</v>
      </c>
    </row>
    <row r="117" spans="1:17">
      <c r="A117" s="1" t="s">
        <v>12</v>
      </c>
      <c r="B117" s="2" t="s">
        <v>4</v>
      </c>
      <c r="C117" s="2" t="s">
        <v>8</v>
      </c>
      <c r="D117" s="2">
        <v>13</v>
      </c>
      <c r="E117" s="2" t="s">
        <v>77</v>
      </c>
      <c r="F117" s="2">
        <v>5</v>
      </c>
      <c r="G117" s="2" t="s">
        <v>207</v>
      </c>
      <c r="H117" s="2">
        <v>4322</v>
      </c>
      <c r="I117" s="2">
        <v>250.208</v>
      </c>
      <c r="J117" s="2">
        <v>1888</v>
      </c>
      <c r="K117" s="2">
        <v>1003</v>
      </c>
      <c r="L117" s="2">
        <v>84</v>
      </c>
      <c r="M117" s="2">
        <v>66</v>
      </c>
      <c r="N117" s="2">
        <v>0.86799999999999999</v>
      </c>
      <c r="O117" s="2">
        <v>1.3440000000000001</v>
      </c>
      <c r="P117" s="2">
        <v>0.74399999999999999</v>
      </c>
      <c r="Q117" s="13">
        <v>0.97399999999999998</v>
      </c>
    </row>
    <row r="118" spans="1:17">
      <c r="A118" s="1" t="s">
        <v>12</v>
      </c>
      <c r="B118" s="2" t="s">
        <v>4</v>
      </c>
      <c r="C118" s="2" t="s">
        <v>8</v>
      </c>
      <c r="D118" s="2">
        <v>13</v>
      </c>
      <c r="E118" s="2" t="s">
        <v>77</v>
      </c>
      <c r="F118" s="2">
        <v>6</v>
      </c>
      <c r="G118" s="2" t="s">
        <v>208</v>
      </c>
      <c r="H118" s="2">
        <v>6273</v>
      </c>
      <c r="I118" s="2">
        <v>306.00700000000001</v>
      </c>
      <c r="J118" s="2">
        <v>2266</v>
      </c>
      <c r="K118" s="2">
        <v>1063</v>
      </c>
      <c r="L118" s="2">
        <v>105</v>
      </c>
      <c r="M118" s="2">
        <v>77</v>
      </c>
      <c r="N118" s="2">
        <v>0.84199999999999997</v>
      </c>
      <c r="O118" s="2">
        <v>1.446</v>
      </c>
      <c r="P118" s="2">
        <v>0.69199999999999995</v>
      </c>
      <c r="Q118" s="13">
        <v>0.97799999999999998</v>
      </c>
    </row>
    <row r="119" spans="1:17">
      <c r="A119" s="1" t="s">
        <v>12</v>
      </c>
      <c r="B119" s="2" t="s">
        <v>4</v>
      </c>
      <c r="C119" s="2" t="s">
        <v>8</v>
      </c>
      <c r="D119" s="2">
        <v>13</v>
      </c>
      <c r="E119" s="2" t="s">
        <v>77</v>
      </c>
      <c r="F119" s="2">
        <v>7</v>
      </c>
      <c r="G119" s="2" t="s">
        <v>209</v>
      </c>
      <c r="H119" s="2">
        <v>5700</v>
      </c>
      <c r="I119" s="2">
        <v>283.90699999999998</v>
      </c>
      <c r="J119" s="2">
        <v>1895</v>
      </c>
      <c r="K119" s="2">
        <v>1138</v>
      </c>
      <c r="L119" s="2">
        <v>88</v>
      </c>
      <c r="M119" s="2">
        <v>85</v>
      </c>
      <c r="N119" s="2">
        <v>0.88900000000000001</v>
      </c>
      <c r="O119" s="2">
        <v>1.0649999999999999</v>
      </c>
      <c r="P119" s="2">
        <v>0.93899999999999995</v>
      </c>
      <c r="Q119" s="13">
        <v>0.97499999999999998</v>
      </c>
    </row>
    <row r="120" spans="1:17">
      <c r="A120" s="1" t="s">
        <v>12</v>
      </c>
      <c r="B120" s="2" t="s">
        <v>4</v>
      </c>
      <c r="C120" s="2" t="s">
        <v>8</v>
      </c>
      <c r="D120" s="2">
        <v>13</v>
      </c>
      <c r="E120" s="2" t="s">
        <v>77</v>
      </c>
      <c r="F120" s="2">
        <v>8</v>
      </c>
      <c r="G120" s="2" t="s">
        <v>210</v>
      </c>
      <c r="H120" s="2">
        <v>5692</v>
      </c>
      <c r="I120" s="2">
        <v>290.291</v>
      </c>
      <c r="J120" s="2">
        <v>2264</v>
      </c>
      <c r="K120" s="2">
        <v>1176</v>
      </c>
      <c r="L120" s="2">
        <v>96</v>
      </c>
      <c r="M120" s="2">
        <v>84</v>
      </c>
      <c r="N120" s="2">
        <v>0.84899999999999998</v>
      </c>
      <c r="O120" s="2">
        <v>1.351</v>
      </c>
      <c r="P120" s="2">
        <v>0.74</v>
      </c>
      <c r="Q120" s="13">
        <v>0.96599999999999997</v>
      </c>
    </row>
    <row r="121" spans="1:17">
      <c r="A121" s="1" t="s">
        <v>12</v>
      </c>
      <c r="B121" s="2" t="s">
        <v>4</v>
      </c>
      <c r="C121" s="2" t="s">
        <v>8</v>
      </c>
      <c r="D121" s="2">
        <v>13</v>
      </c>
      <c r="E121" s="2" t="s">
        <v>77</v>
      </c>
      <c r="F121" s="2">
        <v>9</v>
      </c>
      <c r="G121" s="2" t="s">
        <v>211</v>
      </c>
      <c r="H121" s="2">
        <v>7712</v>
      </c>
      <c r="I121" s="2">
        <v>349.36200000000002</v>
      </c>
      <c r="J121" s="2">
        <v>1979</v>
      </c>
      <c r="K121" s="2">
        <v>1201</v>
      </c>
      <c r="L121" s="2">
        <v>95</v>
      </c>
      <c r="M121" s="2">
        <v>115</v>
      </c>
      <c r="N121" s="2">
        <v>0.79400000000000004</v>
      </c>
      <c r="O121" s="2">
        <v>1.5389999999999999</v>
      </c>
      <c r="P121" s="2">
        <v>0.65</v>
      </c>
      <c r="Q121" s="13">
        <v>0.96399999999999997</v>
      </c>
    </row>
    <row r="122" spans="1:17">
      <c r="A122" s="1" t="s">
        <v>12</v>
      </c>
      <c r="B122" s="2" t="s">
        <v>4</v>
      </c>
      <c r="C122" s="2" t="s">
        <v>8</v>
      </c>
      <c r="D122" s="2">
        <v>13</v>
      </c>
      <c r="E122" s="2" t="s">
        <v>77</v>
      </c>
      <c r="F122" s="2">
        <v>10</v>
      </c>
      <c r="G122" s="2" t="s">
        <v>212</v>
      </c>
      <c r="H122" s="2">
        <v>5303</v>
      </c>
      <c r="I122" s="2">
        <v>277.42099999999999</v>
      </c>
      <c r="J122" s="2">
        <v>2188</v>
      </c>
      <c r="K122" s="2">
        <v>1258</v>
      </c>
      <c r="L122" s="2">
        <v>77</v>
      </c>
      <c r="M122" s="2">
        <v>90</v>
      </c>
      <c r="N122" s="2">
        <v>0.86599999999999999</v>
      </c>
      <c r="O122" s="2">
        <v>1.3380000000000001</v>
      </c>
      <c r="P122" s="2">
        <v>0.748</v>
      </c>
      <c r="Q122" s="13">
        <v>0.97699999999999998</v>
      </c>
    </row>
    <row r="123" spans="1:17">
      <c r="A123" s="1" t="s">
        <v>12</v>
      </c>
      <c r="B123" s="2" t="s">
        <v>4</v>
      </c>
      <c r="C123" s="2" t="s">
        <v>8</v>
      </c>
      <c r="D123" s="2">
        <v>13</v>
      </c>
      <c r="E123" s="2" t="s">
        <v>77</v>
      </c>
      <c r="F123" s="16">
        <v>11</v>
      </c>
      <c r="G123" s="16" t="s">
        <v>213</v>
      </c>
      <c r="H123" s="16">
        <v>5319</v>
      </c>
      <c r="I123" s="16">
        <v>275.76499999999999</v>
      </c>
      <c r="J123" s="16">
        <v>2079</v>
      </c>
      <c r="K123" s="16">
        <v>1274</v>
      </c>
      <c r="L123" s="16">
        <v>78</v>
      </c>
      <c r="M123" s="16">
        <v>88</v>
      </c>
      <c r="N123" s="16">
        <v>0.879</v>
      </c>
      <c r="O123" s="16">
        <v>1.095</v>
      </c>
      <c r="P123" s="16">
        <v>0.91300000000000003</v>
      </c>
      <c r="Q123" s="17">
        <v>0.97399999999999998</v>
      </c>
    </row>
    <row r="124" spans="1:17">
      <c r="A124" s="1" t="s">
        <v>12</v>
      </c>
      <c r="B124" s="2" t="s">
        <v>4</v>
      </c>
      <c r="C124" s="2" t="s">
        <v>8</v>
      </c>
      <c r="D124" s="2">
        <v>14</v>
      </c>
      <c r="E124" s="2" t="s">
        <v>77</v>
      </c>
      <c r="F124" s="2">
        <v>1</v>
      </c>
      <c r="G124" s="2" t="s">
        <v>214</v>
      </c>
      <c r="H124" s="2">
        <v>4669</v>
      </c>
      <c r="I124" s="2">
        <v>302.04899999999998</v>
      </c>
      <c r="J124" s="2">
        <v>1863</v>
      </c>
      <c r="K124" s="2">
        <v>692</v>
      </c>
      <c r="L124" s="2">
        <v>71</v>
      </c>
      <c r="M124" s="2">
        <v>91</v>
      </c>
      <c r="N124" s="2">
        <v>0.64300000000000002</v>
      </c>
      <c r="O124" s="2">
        <v>1.1970000000000001</v>
      </c>
      <c r="P124" s="2">
        <v>0.83599999999999997</v>
      </c>
      <c r="Q124" s="13">
        <v>0.90300000000000002</v>
      </c>
    </row>
    <row r="125" spans="1:17">
      <c r="A125" s="1" t="s">
        <v>12</v>
      </c>
      <c r="B125" s="2" t="s">
        <v>4</v>
      </c>
      <c r="C125" s="2" t="s">
        <v>8</v>
      </c>
      <c r="D125" s="2">
        <v>14</v>
      </c>
      <c r="E125" s="2" t="s">
        <v>77</v>
      </c>
      <c r="F125" s="2">
        <v>2</v>
      </c>
      <c r="G125" s="2" t="s">
        <v>215</v>
      </c>
      <c r="H125" s="2">
        <v>5825</v>
      </c>
      <c r="I125" s="2">
        <v>288.97800000000001</v>
      </c>
      <c r="J125" s="2">
        <v>1739</v>
      </c>
      <c r="K125" s="2">
        <v>703</v>
      </c>
      <c r="L125" s="2">
        <v>85</v>
      </c>
      <c r="M125" s="2">
        <v>92</v>
      </c>
      <c r="N125" s="2">
        <v>0.877</v>
      </c>
      <c r="O125" s="2">
        <v>1.268</v>
      </c>
      <c r="P125" s="2">
        <v>0.78900000000000003</v>
      </c>
      <c r="Q125" s="13">
        <v>0.97799999999999998</v>
      </c>
    </row>
    <row r="126" spans="1:17">
      <c r="A126" s="1" t="s">
        <v>12</v>
      </c>
      <c r="B126" s="2" t="s">
        <v>4</v>
      </c>
      <c r="C126" s="2" t="s">
        <v>8</v>
      </c>
      <c r="D126" s="2">
        <v>14</v>
      </c>
      <c r="E126" s="2" t="s">
        <v>77</v>
      </c>
      <c r="F126" s="2">
        <v>3</v>
      </c>
      <c r="G126" s="2" t="s">
        <v>216</v>
      </c>
      <c r="H126" s="2">
        <v>4192</v>
      </c>
      <c r="I126" s="2">
        <v>244.79400000000001</v>
      </c>
      <c r="J126" s="2">
        <v>1989</v>
      </c>
      <c r="K126" s="2">
        <v>739</v>
      </c>
      <c r="L126" s="2">
        <v>71</v>
      </c>
      <c r="M126" s="2">
        <v>76</v>
      </c>
      <c r="N126" s="2">
        <v>0.879</v>
      </c>
      <c r="O126" s="2">
        <v>1.1439999999999999</v>
      </c>
      <c r="P126" s="2">
        <v>0.874</v>
      </c>
      <c r="Q126" s="13">
        <v>0.97299999999999998</v>
      </c>
    </row>
    <row r="127" spans="1:17">
      <c r="A127" s="1" t="s">
        <v>12</v>
      </c>
      <c r="B127" s="2" t="s">
        <v>4</v>
      </c>
      <c r="C127" s="2" t="s">
        <v>8</v>
      </c>
      <c r="D127" s="2">
        <v>14</v>
      </c>
      <c r="E127" s="2" t="s">
        <v>77</v>
      </c>
      <c r="F127" s="2">
        <v>4</v>
      </c>
      <c r="G127" s="2" t="s">
        <v>217</v>
      </c>
      <c r="H127" s="2">
        <v>7213</v>
      </c>
      <c r="I127" s="2">
        <v>334.67599999999999</v>
      </c>
      <c r="J127" s="2">
        <v>1664</v>
      </c>
      <c r="K127" s="2">
        <v>760</v>
      </c>
      <c r="L127" s="2">
        <v>93</v>
      </c>
      <c r="M127" s="2">
        <v>109</v>
      </c>
      <c r="N127" s="2">
        <v>0.80900000000000005</v>
      </c>
      <c r="O127" s="2">
        <v>1.5089999999999999</v>
      </c>
      <c r="P127" s="2">
        <v>0.66300000000000003</v>
      </c>
      <c r="Q127" s="13">
        <v>0.96499999999999997</v>
      </c>
    </row>
    <row r="128" spans="1:17">
      <c r="A128" s="1" t="s">
        <v>12</v>
      </c>
      <c r="B128" s="2" t="s">
        <v>4</v>
      </c>
      <c r="C128" s="2" t="s">
        <v>8</v>
      </c>
      <c r="D128" s="2">
        <v>14</v>
      </c>
      <c r="E128" s="2" t="s">
        <v>77</v>
      </c>
      <c r="F128" s="2">
        <v>5</v>
      </c>
      <c r="G128" s="2" t="s">
        <v>218</v>
      </c>
      <c r="H128" s="2">
        <v>1274</v>
      </c>
      <c r="I128" s="2">
        <v>144.125</v>
      </c>
      <c r="J128" s="2">
        <v>1633</v>
      </c>
      <c r="K128" s="2">
        <v>861</v>
      </c>
      <c r="L128" s="2">
        <v>52</v>
      </c>
      <c r="M128" s="2">
        <v>35</v>
      </c>
      <c r="N128" s="2">
        <v>0.77100000000000002</v>
      </c>
      <c r="O128" s="2">
        <v>1.9179999999999999</v>
      </c>
      <c r="P128" s="2">
        <v>0.52100000000000002</v>
      </c>
      <c r="Q128" s="13">
        <v>0.95299999999999996</v>
      </c>
    </row>
    <row r="129" spans="1:17">
      <c r="A129" s="1" t="s">
        <v>12</v>
      </c>
      <c r="B129" s="2" t="s">
        <v>4</v>
      </c>
      <c r="C129" s="2" t="s">
        <v>8</v>
      </c>
      <c r="D129" s="2">
        <v>14</v>
      </c>
      <c r="E129" s="2" t="s">
        <v>77</v>
      </c>
      <c r="F129" s="2">
        <v>6</v>
      </c>
      <c r="G129" s="2" t="s">
        <v>219</v>
      </c>
      <c r="H129" s="2">
        <v>4063</v>
      </c>
      <c r="I129" s="2">
        <v>241.86500000000001</v>
      </c>
      <c r="J129" s="2">
        <v>2038</v>
      </c>
      <c r="K129" s="2">
        <v>844</v>
      </c>
      <c r="L129" s="2">
        <v>79</v>
      </c>
      <c r="M129" s="2">
        <v>68</v>
      </c>
      <c r="N129" s="2">
        <v>0.873</v>
      </c>
      <c r="O129" s="2">
        <v>1.26</v>
      </c>
      <c r="P129" s="2">
        <v>0.79300000000000004</v>
      </c>
      <c r="Q129" s="13">
        <v>0.97599999999999998</v>
      </c>
    </row>
    <row r="130" spans="1:17">
      <c r="A130" s="1" t="s">
        <v>12</v>
      </c>
      <c r="B130" s="2" t="s">
        <v>4</v>
      </c>
      <c r="C130" s="2" t="s">
        <v>8</v>
      </c>
      <c r="D130" s="2">
        <v>14</v>
      </c>
      <c r="E130" s="2" t="s">
        <v>77</v>
      </c>
      <c r="F130" s="2">
        <v>7</v>
      </c>
      <c r="G130" s="2" t="s">
        <v>220</v>
      </c>
      <c r="H130" s="2">
        <v>5541</v>
      </c>
      <c r="I130" s="2">
        <v>287.03699999999998</v>
      </c>
      <c r="J130" s="2">
        <v>1624</v>
      </c>
      <c r="K130" s="2">
        <v>917</v>
      </c>
      <c r="L130" s="2">
        <v>88</v>
      </c>
      <c r="M130" s="2">
        <v>75</v>
      </c>
      <c r="N130" s="2">
        <v>0.84499999999999997</v>
      </c>
      <c r="O130" s="2">
        <v>1.202</v>
      </c>
      <c r="P130" s="2">
        <v>0.83199999999999996</v>
      </c>
      <c r="Q130" s="13">
        <v>0.97199999999999998</v>
      </c>
    </row>
    <row r="131" spans="1:17">
      <c r="A131" s="1" t="s">
        <v>12</v>
      </c>
      <c r="B131" s="2" t="s">
        <v>4</v>
      </c>
      <c r="C131" s="2" t="s">
        <v>8</v>
      </c>
      <c r="D131" s="2">
        <v>14</v>
      </c>
      <c r="E131" s="2" t="s">
        <v>77</v>
      </c>
      <c r="F131" s="2">
        <v>8</v>
      </c>
      <c r="G131" s="2" t="s">
        <v>221</v>
      </c>
      <c r="H131" s="2">
        <v>5936</v>
      </c>
      <c r="I131" s="2">
        <v>288.59300000000002</v>
      </c>
      <c r="J131" s="2">
        <v>2050</v>
      </c>
      <c r="K131" s="2">
        <v>942</v>
      </c>
      <c r="L131" s="2">
        <v>94</v>
      </c>
      <c r="M131" s="2">
        <v>79</v>
      </c>
      <c r="N131" s="2">
        <v>0.89600000000000002</v>
      </c>
      <c r="O131" s="2">
        <v>1.161</v>
      </c>
      <c r="P131" s="2">
        <v>0.86099999999999999</v>
      </c>
      <c r="Q131" s="13">
        <v>0.98199999999999998</v>
      </c>
    </row>
    <row r="132" spans="1:17">
      <c r="A132" s="1" t="s">
        <v>12</v>
      </c>
      <c r="B132" s="2" t="s">
        <v>4</v>
      </c>
      <c r="C132" s="2" t="s">
        <v>8</v>
      </c>
      <c r="D132" s="2">
        <v>14</v>
      </c>
      <c r="E132" s="2" t="s">
        <v>77</v>
      </c>
      <c r="F132" s="2">
        <v>9</v>
      </c>
      <c r="G132" s="2" t="s">
        <v>222</v>
      </c>
      <c r="H132" s="2">
        <v>4806</v>
      </c>
      <c r="I132" s="2">
        <v>259.17899999999997</v>
      </c>
      <c r="J132" s="2">
        <v>1697</v>
      </c>
      <c r="K132" s="2">
        <v>1042</v>
      </c>
      <c r="L132" s="2">
        <v>79</v>
      </c>
      <c r="M132" s="2">
        <v>78</v>
      </c>
      <c r="N132" s="2">
        <v>0.89900000000000002</v>
      </c>
      <c r="O132" s="2">
        <v>1.08</v>
      </c>
      <c r="P132" s="2">
        <v>0.92600000000000005</v>
      </c>
      <c r="Q132" s="13">
        <v>0.97899999999999998</v>
      </c>
    </row>
    <row r="133" spans="1:17">
      <c r="A133" s="1" t="s">
        <v>12</v>
      </c>
      <c r="B133" s="2" t="s">
        <v>4</v>
      </c>
      <c r="C133" s="2" t="s">
        <v>8</v>
      </c>
      <c r="D133" s="2">
        <v>14</v>
      </c>
      <c r="E133" s="2" t="s">
        <v>77</v>
      </c>
      <c r="F133" s="2">
        <v>10</v>
      </c>
      <c r="G133" s="2" t="s">
        <v>223</v>
      </c>
      <c r="H133" s="2">
        <v>5720</v>
      </c>
      <c r="I133" s="2">
        <v>282.97800000000001</v>
      </c>
      <c r="J133" s="2">
        <v>2006</v>
      </c>
      <c r="K133" s="2">
        <v>1066</v>
      </c>
      <c r="L133" s="2">
        <v>84</v>
      </c>
      <c r="M133" s="2">
        <v>90</v>
      </c>
      <c r="N133" s="2">
        <v>0.89800000000000002</v>
      </c>
      <c r="O133" s="2">
        <v>1.1299999999999999</v>
      </c>
      <c r="P133" s="2">
        <v>0.88500000000000001</v>
      </c>
      <c r="Q133" s="13">
        <v>0.98099999999999998</v>
      </c>
    </row>
    <row r="134" spans="1:17">
      <c r="A134" s="1" t="s">
        <v>12</v>
      </c>
      <c r="B134" s="2" t="s">
        <v>4</v>
      </c>
      <c r="C134" s="2" t="s">
        <v>8</v>
      </c>
      <c r="D134" s="2">
        <v>14</v>
      </c>
      <c r="E134" s="2" t="s">
        <v>77</v>
      </c>
      <c r="F134" s="16">
        <v>11</v>
      </c>
      <c r="G134" s="16" t="s">
        <v>224</v>
      </c>
      <c r="H134" s="16">
        <v>4472</v>
      </c>
      <c r="I134" s="16">
        <v>257.42099999999999</v>
      </c>
      <c r="J134" s="16">
        <v>1800</v>
      </c>
      <c r="K134" s="16">
        <v>1110</v>
      </c>
      <c r="L134" s="16">
        <v>75</v>
      </c>
      <c r="M134" s="16">
        <v>81</v>
      </c>
      <c r="N134" s="16">
        <v>0.84799999999999998</v>
      </c>
      <c r="O134" s="16">
        <v>1.139</v>
      </c>
      <c r="P134" s="16">
        <v>0.878</v>
      </c>
      <c r="Q134" s="17">
        <v>0.96699999999999997</v>
      </c>
    </row>
    <row r="135" spans="1:17">
      <c r="A135" s="1" t="s">
        <v>12</v>
      </c>
      <c r="B135" s="2" t="s">
        <v>4</v>
      </c>
      <c r="C135" s="2" t="s">
        <v>8</v>
      </c>
      <c r="D135" s="2">
        <v>14</v>
      </c>
      <c r="E135" s="2" t="s">
        <v>77</v>
      </c>
      <c r="F135" s="2">
        <v>12</v>
      </c>
      <c r="G135" s="2" t="s">
        <v>225</v>
      </c>
      <c r="H135" s="2">
        <v>5270</v>
      </c>
      <c r="I135" s="2">
        <v>273.42099999999999</v>
      </c>
      <c r="J135" s="2">
        <v>1916</v>
      </c>
      <c r="K135" s="2">
        <v>1119</v>
      </c>
      <c r="L135" s="2">
        <v>78</v>
      </c>
      <c r="M135" s="2">
        <v>87</v>
      </c>
      <c r="N135" s="2">
        <v>0.88600000000000001</v>
      </c>
      <c r="O135" s="2">
        <v>1.1479999999999999</v>
      </c>
      <c r="P135" s="2">
        <v>0.871</v>
      </c>
      <c r="Q135" s="13">
        <v>0.97799999999999998</v>
      </c>
    </row>
    <row r="136" spans="1:17">
      <c r="A136" s="1" t="s">
        <v>12</v>
      </c>
      <c r="B136" s="2" t="s">
        <v>4</v>
      </c>
      <c r="C136" s="2" t="s">
        <v>8</v>
      </c>
      <c r="D136" s="2">
        <v>15</v>
      </c>
      <c r="E136" s="2" t="s">
        <v>77</v>
      </c>
      <c r="F136" s="2">
        <v>1</v>
      </c>
      <c r="G136" s="2" t="s">
        <v>226</v>
      </c>
      <c r="H136" s="2">
        <v>921</v>
      </c>
      <c r="I136" s="2">
        <v>124.22499999999999</v>
      </c>
      <c r="J136" s="2">
        <v>1879</v>
      </c>
      <c r="K136" s="2">
        <v>1026</v>
      </c>
      <c r="L136" s="2">
        <v>28</v>
      </c>
      <c r="M136" s="2">
        <v>46</v>
      </c>
      <c r="N136" s="2">
        <v>0.75</v>
      </c>
      <c r="O136" s="2">
        <v>1.927</v>
      </c>
      <c r="P136" s="2">
        <v>0.51900000000000002</v>
      </c>
      <c r="Q136" s="13">
        <v>0.93300000000000005</v>
      </c>
    </row>
    <row r="137" spans="1:17">
      <c r="A137" s="1" t="s">
        <v>12</v>
      </c>
      <c r="B137" s="2" t="s">
        <v>4</v>
      </c>
      <c r="C137" s="2" t="s">
        <v>8</v>
      </c>
      <c r="D137" s="2">
        <v>15</v>
      </c>
      <c r="E137" s="2" t="s">
        <v>77</v>
      </c>
      <c r="F137" s="2">
        <v>2</v>
      </c>
      <c r="G137" s="2" t="s">
        <v>227</v>
      </c>
      <c r="H137" s="2">
        <v>2639</v>
      </c>
      <c r="I137" s="2">
        <v>195.33799999999999</v>
      </c>
      <c r="J137" s="2">
        <v>1804</v>
      </c>
      <c r="K137" s="2">
        <v>1014</v>
      </c>
      <c r="L137" s="2">
        <v>50</v>
      </c>
      <c r="M137" s="2">
        <v>67</v>
      </c>
      <c r="N137" s="2">
        <v>0.86899999999999999</v>
      </c>
      <c r="O137" s="2">
        <v>1.3520000000000001</v>
      </c>
      <c r="P137" s="2">
        <v>0.73899999999999999</v>
      </c>
      <c r="Q137" s="13">
        <v>0.97099999999999997</v>
      </c>
    </row>
    <row r="138" spans="1:17">
      <c r="A138" s="1" t="s">
        <v>12</v>
      </c>
      <c r="B138" s="2" t="s">
        <v>4</v>
      </c>
      <c r="C138" s="2" t="s">
        <v>8</v>
      </c>
      <c r="D138" s="2">
        <v>15</v>
      </c>
      <c r="E138" s="2" t="s">
        <v>77</v>
      </c>
      <c r="F138" s="2">
        <v>3</v>
      </c>
      <c r="G138" s="2" t="s">
        <v>228</v>
      </c>
      <c r="H138" s="2">
        <v>1571</v>
      </c>
      <c r="I138" s="2">
        <v>152.024</v>
      </c>
      <c r="J138" s="2">
        <v>1746</v>
      </c>
      <c r="K138" s="2">
        <v>1041</v>
      </c>
      <c r="L138" s="2">
        <v>41</v>
      </c>
      <c r="M138" s="2">
        <v>52</v>
      </c>
      <c r="N138" s="2">
        <v>0.85399999999999998</v>
      </c>
      <c r="O138" s="2">
        <v>1.429</v>
      </c>
      <c r="P138" s="2">
        <v>0.7</v>
      </c>
      <c r="Q138" s="13">
        <v>0.96399999999999997</v>
      </c>
    </row>
    <row r="139" spans="1:17">
      <c r="A139" s="1" t="s">
        <v>12</v>
      </c>
      <c r="B139" s="2" t="s">
        <v>4</v>
      </c>
      <c r="C139" s="2" t="s">
        <v>8</v>
      </c>
      <c r="D139" s="2">
        <v>15</v>
      </c>
      <c r="E139" s="2" t="s">
        <v>77</v>
      </c>
      <c r="F139" s="2">
        <v>4</v>
      </c>
      <c r="G139" s="2" t="s">
        <v>229</v>
      </c>
      <c r="H139" s="2">
        <v>3505</v>
      </c>
      <c r="I139" s="2">
        <v>224.79400000000001</v>
      </c>
      <c r="J139" s="2">
        <v>1669</v>
      </c>
      <c r="K139" s="2">
        <v>1062</v>
      </c>
      <c r="L139" s="2">
        <v>66</v>
      </c>
      <c r="M139" s="2">
        <v>71</v>
      </c>
      <c r="N139" s="2">
        <v>0.872</v>
      </c>
      <c r="O139" s="2">
        <v>1.212</v>
      </c>
      <c r="P139" s="2">
        <v>0.82499999999999996</v>
      </c>
      <c r="Q139" s="13">
        <v>0.97099999999999997</v>
      </c>
    </row>
    <row r="140" spans="1:17">
      <c r="A140" s="1" t="s">
        <v>12</v>
      </c>
      <c r="B140" s="2" t="s">
        <v>4</v>
      </c>
      <c r="C140" s="2" t="s">
        <v>8</v>
      </c>
      <c r="D140" s="2">
        <v>15</v>
      </c>
      <c r="E140" s="2" t="s">
        <v>77</v>
      </c>
      <c r="F140" s="2">
        <v>5</v>
      </c>
      <c r="G140" s="2" t="s">
        <v>230</v>
      </c>
      <c r="H140" s="2">
        <v>2889</v>
      </c>
      <c r="I140" s="2">
        <v>204.309</v>
      </c>
      <c r="J140" s="2">
        <v>1928</v>
      </c>
      <c r="K140" s="2">
        <v>1072</v>
      </c>
      <c r="L140" s="2">
        <v>63</v>
      </c>
      <c r="M140" s="2">
        <v>62</v>
      </c>
      <c r="N140" s="2">
        <v>0.87</v>
      </c>
      <c r="O140" s="2">
        <v>1.411</v>
      </c>
      <c r="P140" s="2">
        <v>0.70899999999999996</v>
      </c>
      <c r="Q140" s="13">
        <v>0.97399999999999998</v>
      </c>
    </row>
    <row r="141" spans="1:17">
      <c r="A141" s="1" t="s">
        <v>12</v>
      </c>
      <c r="B141" s="2" t="s">
        <v>4</v>
      </c>
      <c r="C141" s="2" t="s">
        <v>8</v>
      </c>
      <c r="D141" s="2">
        <v>15</v>
      </c>
      <c r="E141" s="2" t="s">
        <v>77</v>
      </c>
      <c r="F141" s="2">
        <v>6</v>
      </c>
      <c r="G141" s="2" t="s">
        <v>231</v>
      </c>
      <c r="H141" s="2">
        <v>1860</v>
      </c>
      <c r="I141" s="2">
        <v>165.095</v>
      </c>
      <c r="J141" s="2">
        <v>1983</v>
      </c>
      <c r="K141" s="2">
        <v>1139</v>
      </c>
      <c r="L141" s="2">
        <v>57</v>
      </c>
      <c r="M141" s="2">
        <v>44</v>
      </c>
      <c r="N141" s="2">
        <v>0.85799999999999998</v>
      </c>
      <c r="O141" s="2">
        <v>1.4670000000000001</v>
      </c>
      <c r="P141" s="2">
        <v>0.68200000000000005</v>
      </c>
      <c r="Q141" s="13">
        <v>0.96899999999999997</v>
      </c>
    </row>
    <row r="142" spans="1:17">
      <c r="A142" s="1" t="s">
        <v>12</v>
      </c>
      <c r="B142" s="2" t="s">
        <v>4</v>
      </c>
      <c r="C142" s="2" t="s">
        <v>8</v>
      </c>
      <c r="D142" s="2">
        <v>15</v>
      </c>
      <c r="E142" s="2" t="s">
        <v>77</v>
      </c>
      <c r="F142" s="2">
        <v>7</v>
      </c>
      <c r="G142" s="2" t="s">
        <v>232</v>
      </c>
      <c r="H142" s="2">
        <v>2583</v>
      </c>
      <c r="I142" s="2">
        <v>190.40899999999999</v>
      </c>
      <c r="J142" s="2">
        <v>1594</v>
      </c>
      <c r="K142" s="2">
        <v>1133</v>
      </c>
      <c r="L142" s="2">
        <v>62</v>
      </c>
      <c r="M142" s="2">
        <v>54</v>
      </c>
      <c r="N142" s="2">
        <v>0.89500000000000002</v>
      </c>
      <c r="O142" s="2">
        <v>1.19</v>
      </c>
      <c r="P142" s="2">
        <v>0.84</v>
      </c>
      <c r="Q142" s="13">
        <v>0.97299999999999998</v>
      </c>
    </row>
    <row r="143" spans="1:17">
      <c r="A143" s="1" t="s">
        <v>12</v>
      </c>
      <c r="B143" s="2" t="s">
        <v>4</v>
      </c>
      <c r="C143" s="2" t="s">
        <v>8</v>
      </c>
      <c r="D143" s="2">
        <v>15</v>
      </c>
      <c r="E143" s="2" t="s">
        <v>77</v>
      </c>
      <c r="F143" s="2">
        <v>8</v>
      </c>
      <c r="G143" s="2" t="s">
        <v>233</v>
      </c>
      <c r="H143" s="2">
        <v>2422</v>
      </c>
      <c r="I143" s="2">
        <v>191.33799999999999</v>
      </c>
      <c r="J143" s="2">
        <v>2000</v>
      </c>
      <c r="K143" s="2">
        <v>1209</v>
      </c>
      <c r="L143" s="2">
        <v>64</v>
      </c>
      <c r="M143" s="2">
        <v>50</v>
      </c>
      <c r="N143" s="2">
        <v>0.83099999999999996</v>
      </c>
      <c r="O143" s="2">
        <v>1.409</v>
      </c>
      <c r="P143" s="2">
        <v>0.71</v>
      </c>
      <c r="Q143" s="13">
        <v>0.96399999999999997</v>
      </c>
    </row>
    <row r="144" spans="1:17">
      <c r="A144" s="1" t="s">
        <v>12</v>
      </c>
      <c r="B144" s="2" t="s">
        <v>4</v>
      </c>
      <c r="C144" s="2" t="s">
        <v>8</v>
      </c>
      <c r="D144" s="2">
        <v>15</v>
      </c>
      <c r="E144" s="2" t="s">
        <v>77</v>
      </c>
      <c r="F144" s="2">
        <v>9</v>
      </c>
      <c r="G144" s="2" t="s">
        <v>234</v>
      </c>
      <c r="H144" s="2">
        <v>2860</v>
      </c>
      <c r="I144" s="2">
        <v>204.066</v>
      </c>
      <c r="J144" s="2">
        <v>1575</v>
      </c>
      <c r="K144" s="2">
        <v>1239</v>
      </c>
      <c r="L144" s="2">
        <v>68</v>
      </c>
      <c r="M144" s="2">
        <v>54</v>
      </c>
      <c r="N144" s="2">
        <v>0.86299999999999999</v>
      </c>
      <c r="O144" s="2">
        <v>1.27</v>
      </c>
      <c r="P144" s="2">
        <v>0.78800000000000003</v>
      </c>
      <c r="Q144" s="13">
        <v>0.96499999999999997</v>
      </c>
    </row>
    <row r="145" spans="1:17">
      <c r="A145" s="1" t="s">
        <v>12</v>
      </c>
      <c r="B145" s="2" t="s">
        <v>4</v>
      </c>
      <c r="C145" s="2" t="s">
        <v>8</v>
      </c>
      <c r="D145" s="2">
        <v>15</v>
      </c>
      <c r="E145" s="2" t="s">
        <v>77</v>
      </c>
      <c r="F145" s="16">
        <v>10</v>
      </c>
      <c r="G145" s="16" t="s">
        <v>235</v>
      </c>
      <c r="H145" s="16">
        <v>3260</v>
      </c>
      <c r="I145" s="16">
        <v>222.40899999999999</v>
      </c>
      <c r="J145" s="16">
        <v>1989</v>
      </c>
      <c r="K145" s="16">
        <v>1297</v>
      </c>
      <c r="L145" s="16">
        <v>69</v>
      </c>
      <c r="M145" s="16">
        <v>63</v>
      </c>
      <c r="N145" s="16">
        <v>0.82799999999999996</v>
      </c>
      <c r="O145" s="16">
        <v>1.3939999999999999</v>
      </c>
      <c r="P145" s="16">
        <v>0.71799999999999997</v>
      </c>
      <c r="Q145" s="17">
        <v>0.96399999999999997</v>
      </c>
    </row>
    <row r="146" spans="1:17">
      <c r="A146" s="1" t="s">
        <v>12</v>
      </c>
      <c r="B146" s="2" t="s">
        <v>4</v>
      </c>
      <c r="C146" s="2" t="s">
        <v>8</v>
      </c>
      <c r="D146" s="2">
        <v>15</v>
      </c>
      <c r="E146" s="2" t="s">
        <v>77</v>
      </c>
      <c r="F146" s="2">
        <v>11</v>
      </c>
      <c r="G146" s="2" t="s">
        <v>236</v>
      </c>
      <c r="H146" s="2">
        <v>4021</v>
      </c>
      <c r="I146" s="2">
        <v>239.279</v>
      </c>
      <c r="J146" s="2">
        <v>1607</v>
      </c>
      <c r="K146" s="2">
        <v>1327</v>
      </c>
      <c r="L146" s="2">
        <v>75</v>
      </c>
      <c r="M146" s="2">
        <v>71</v>
      </c>
      <c r="N146" s="2">
        <v>0.88300000000000001</v>
      </c>
      <c r="O146" s="2">
        <v>1.1359999999999999</v>
      </c>
      <c r="P146" s="2">
        <v>0.88</v>
      </c>
      <c r="Q146" s="13">
        <v>0.97499999999999998</v>
      </c>
    </row>
    <row r="147" spans="1:17">
      <c r="A147" s="1" t="s">
        <v>12</v>
      </c>
      <c r="B147" s="2" t="s">
        <v>4</v>
      </c>
      <c r="C147" s="2" t="s">
        <v>8</v>
      </c>
      <c r="D147" s="2">
        <v>15</v>
      </c>
      <c r="E147" s="2" t="s">
        <v>77</v>
      </c>
      <c r="F147" s="2">
        <v>12</v>
      </c>
      <c r="G147" s="2" t="s">
        <v>237</v>
      </c>
      <c r="H147" s="2">
        <v>3725</v>
      </c>
      <c r="I147" s="2">
        <v>232.00700000000001</v>
      </c>
      <c r="J147" s="2">
        <v>1926</v>
      </c>
      <c r="K147" s="2">
        <v>1375</v>
      </c>
      <c r="L147" s="2">
        <v>70</v>
      </c>
      <c r="M147" s="2">
        <v>75</v>
      </c>
      <c r="N147" s="2">
        <v>0.87</v>
      </c>
      <c r="O147" s="2">
        <v>1.266</v>
      </c>
      <c r="P147" s="2">
        <v>0.79</v>
      </c>
      <c r="Q147" s="13">
        <v>0.97199999999999998</v>
      </c>
    </row>
    <row r="148" spans="1:17">
      <c r="A148" s="1" t="s">
        <v>12</v>
      </c>
      <c r="B148" s="2" t="s">
        <v>4</v>
      </c>
      <c r="C148" s="2" t="s">
        <v>8</v>
      </c>
      <c r="D148" s="2">
        <v>15</v>
      </c>
      <c r="E148" s="2" t="s">
        <v>77</v>
      </c>
      <c r="F148" s="2">
        <v>13</v>
      </c>
      <c r="G148" s="2" t="s">
        <v>238</v>
      </c>
      <c r="H148" s="2">
        <v>4474</v>
      </c>
      <c r="I148" s="2">
        <v>252.35</v>
      </c>
      <c r="J148" s="2">
        <v>1699</v>
      </c>
      <c r="K148" s="2">
        <v>1390</v>
      </c>
      <c r="L148" s="2">
        <v>73</v>
      </c>
      <c r="M148" s="2">
        <v>80</v>
      </c>
      <c r="N148" s="2">
        <v>0.88300000000000001</v>
      </c>
      <c r="O148" s="2">
        <v>1.1659999999999999</v>
      </c>
      <c r="P148" s="2">
        <v>0.85699999999999998</v>
      </c>
      <c r="Q148" s="13">
        <v>0.97299999999999998</v>
      </c>
    </row>
    <row r="149" spans="1:17">
      <c r="A149" s="1" t="s">
        <v>12</v>
      </c>
      <c r="B149" s="2" t="s">
        <v>4</v>
      </c>
      <c r="C149" s="2" t="s">
        <v>8</v>
      </c>
      <c r="D149" s="2">
        <v>15</v>
      </c>
      <c r="E149" s="2" t="s">
        <v>77</v>
      </c>
      <c r="F149" s="2">
        <v>14</v>
      </c>
      <c r="G149" s="2" t="s">
        <v>239</v>
      </c>
      <c r="H149" s="2">
        <v>2778</v>
      </c>
      <c r="I149" s="2">
        <v>201.33799999999999</v>
      </c>
      <c r="J149" s="2">
        <v>1868</v>
      </c>
      <c r="K149" s="2">
        <v>1416</v>
      </c>
      <c r="L149" s="2">
        <v>53</v>
      </c>
      <c r="M149" s="2">
        <v>67</v>
      </c>
      <c r="N149" s="2">
        <v>0.86099999999999999</v>
      </c>
      <c r="O149" s="2">
        <v>1.393</v>
      </c>
      <c r="P149" s="2">
        <v>0.71799999999999997</v>
      </c>
      <c r="Q149" s="13">
        <v>0.97399999999999998</v>
      </c>
    </row>
    <row r="150" spans="1:17">
      <c r="A150" s="1" t="s">
        <v>12</v>
      </c>
      <c r="B150" s="2" t="s">
        <v>4</v>
      </c>
      <c r="C150" s="2" t="s">
        <v>8</v>
      </c>
      <c r="D150" s="2">
        <v>15</v>
      </c>
      <c r="E150" s="2" t="s">
        <v>77</v>
      </c>
      <c r="F150" s="2">
        <v>15</v>
      </c>
      <c r="G150" s="2" t="s">
        <v>240</v>
      </c>
      <c r="H150" s="2">
        <v>3197</v>
      </c>
      <c r="I150" s="2">
        <v>216.995</v>
      </c>
      <c r="J150" s="2">
        <v>1801</v>
      </c>
      <c r="K150" s="2">
        <v>1418</v>
      </c>
      <c r="L150" s="2">
        <v>54</v>
      </c>
      <c r="M150" s="2">
        <v>75</v>
      </c>
      <c r="N150" s="2">
        <v>0.85299999999999998</v>
      </c>
      <c r="O150" s="2">
        <v>1.403</v>
      </c>
      <c r="P150" s="2">
        <v>0.71299999999999997</v>
      </c>
      <c r="Q150" s="13">
        <v>0.97299999999999998</v>
      </c>
    </row>
    <row r="151" spans="1:17">
      <c r="A151" s="1" t="s">
        <v>12</v>
      </c>
      <c r="B151" s="2" t="s">
        <v>4</v>
      </c>
      <c r="C151" s="2" t="s">
        <v>8</v>
      </c>
      <c r="D151" s="2">
        <v>16</v>
      </c>
      <c r="E151" s="2" t="s">
        <v>77</v>
      </c>
      <c r="F151" s="2">
        <v>1</v>
      </c>
      <c r="G151" s="2" t="s">
        <v>241</v>
      </c>
      <c r="H151" s="2">
        <v>10090</v>
      </c>
      <c r="I151" s="2">
        <v>394.47500000000002</v>
      </c>
      <c r="J151" s="2">
        <v>1829</v>
      </c>
      <c r="K151" s="2">
        <v>626</v>
      </c>
      <c r="L151" s="2">
        <v>110</v>
      </c>
      <c r="M151" s="2">
        <v>120</v>
      </c>
      <c r="N151" s="2">
        <v>0.81499999999999995</v>
      </c>
      <c r="O151" s="2">
        <v>1.0940000000000001</v>
      </c>
      <c r="P151" s="2">
        <v>0.91400000000000003</v>
      </c>
      <c r="Q151" s="13">
        <v>0.97199999999999998</v>
      </c>
    </row>
    <row r="152" spans="1:17">
      <c r="A152" s="1" t="s">
        <v>12</v>
      </c>
      <c r="B152" s="2" t="s">
        <v>4</v>
      </c>
      <c r="C152" s="2" t="s">
        <v>8</v>
      </c>
      <c r="D152" s="2">
        <v>16</v>
      </c>
      <c r="E152" s="2" t="s">
        <v>77</v>
      </c>
      <c r="F152" s="2">
        <v>2</v>
      </c>
      <c r="G152" s="2" t="s">
        <v>242</v>
      </c>
      <c r="H152" s="2">
        <v>6743</v>
      </c>
      <c r="I152" s="2">
        <v>322.53399999999999</v>
      </c>
      <c r="J152" s="2">
        <v>2000</v>
      </c>
      <c r="K152" s="2">
        <v>646</v>
      </c>
      <c r="L152" s="2">
        <v>94</v>
      </c>
      <c r="M152" s="2">
        <v>100</v>
      </c>
      <c r="N152" s="2">
        <v>0.81499999999999995</v>
      </c>
      <c r="O152" s="2">
        <v>1.21</v>
      </c>
      <c r="P152" s="2">
        <v>0.82699999999999996</v>
      </c>
      <c r="Q152" s="13">
        <v>0.95499999999999996</v>
      </c>
    </row>
    <row r="153" spans="1:17">
      <c r="A153" s="1" t="s">
        <v>12</v>
      </c>
      <c r="B153" s="2" t="s">
        <v>4</v>
      </c>
      <c r="C153" s="2" t="s">
        <v>8</v>
      </c>
      <c r="D153" s="2">
        <v>16</v>
      </c>
      <c r="E153" s="2" t="s">
        <v>77</v>
      </c>
      <c r="F153" s="2">
        <v>3</v>
      </c>
      <c r="G153" s="2" t="s">
        <v>243</v>
      </c>
      <c r="H153" s="2">
        <v>5399</v>
      </c>
      <c r="I153" s="2">
        <v>294.53399999999999</v>
      </c>
      <c r="J153" s="2">
        <v>2115</v>
      </c>
      <c r="K153" s="2">
        <v>745</v>
      </c>
      <c r="L153" s="2">
        <v>95</v>
      </c>
      <c r="M153" s="2">
        <v>87</v>
      </c>
      <c r="N153" s="2">
        <v>0.78200000000000003</v>
      </c>
      <c r="O153" s="2">
        <v>1.4379999999999999</v>
      </c>
      <c r="P153" s="2">
        <v>0.69599999999999995</v>
      </c>
      <c r="Q153" s="13">
        <v>0.95699999999999996</v>
      </c>
    </row>
    <row r="154" spans="1:17">
      <c r="A154" s="1" t="s">
        <v>12</v>
      </c>
      <c r="B154" s="2" t="s">
        <v>4</v>
      </c>
      <c r="C154" s="2" t="s">
        <v>8</v>
      </c>
      <c r="D154" s="2">
        <v>16</v>
      </c>
      <c r="E154" s="2" t="s">
        <v>77</v>
      </c>
      <c r="F154" s="2">
        <v>4</v>
      </c>
      <c r="G154" s="2" t="s">
        <v>244</v>
      </c>
      <c r="H154" s="2">
        <v>9208</v>
      </c>
      <c r="I154" s="2">
        <v>376.33300000000003</v>
      </c>
      <c r="J154" s="2">
        <v>1686</v>
      </c>
      <c r="K154" s="2">
        <v>722</v>
      </c>
      <c r="L154" s="2">
        <v>107</v>
      </c>
      <c r="M154" s="2">
        <v>113</v>
      </c>
      <c r="N154" s="2">
        <v>0.81699999999999995</v>
      </c>
      <c r="O154" s="2">
        <v>1.1060000000000001</v>
      </c>
      <c r="P154" s="2">
        <v>0.90400000000000003</v>
      </c>
      <c r="Q154" s="13">
        <v>0.96699999999999997</v>
      </c>
    </row>
    <row r="155" spans="1:17">
      <c r="A155" s="1" t="s">
        <v>12</v>
      </c>
      <c r="B155" s="2" t="s">
        <v>4</v>
      </c>
      <c r="C155" s="2" t="s">
        <v>8</v>
      </c>
      <c r="D155" s="2">
        <v>16</v>
      </c>
      <c r="E155" s="2" t="s">
        <v>77</v>
      </c>
      <c r="F155" s="2">
        <v>5</v>
      </c>
      <c r="G155" s="2" t="s">
        <v>245</v>
      </c>
      <c r="H155" s="2">
        <v>3352</v>
      </c>
      <c r="I155" s="2">
        <v>262.04899999999998</v>
      </c>
      <c r="J155" s="2">
        <v>2201</v>
      </c>
      <c r="K155" s="2">
        <v>848</v>
      </c>
      <c r="L155" s="2">
        <v>85</v>
      </c>
      <c r="M155" s="2">
        <v>71</v>
      </c>
      <c r="N155" s="2">
        <v>0.61299999999999999</v>
      </c>
      <c r="O155" s="2">
        <v>1.968</v>
      </c>
      <c r="P155" s="2">
        <v>0.50800000000000001</v>
      </c>
      <c r="Q155" s="13">
        <v>0.91600000000000004</v>
      </c>
    </row>
    <row r="156" spans="1:17">
      <c r="A156" s="1" t="s">
        <v>12</v>
      </c>
      <c r="B156" s="2" t="s">
        <v>4</v>
      </c>
      <c r="C156" s="2" t="s">
        <v>8</v>
      </c>
      <c r="D156" s="2">
        <v>16</v>
      </c>
      <c r="E156" s="2" t="s">
        <v>77</v>
      </c>
      <c r="F156" s="2">
        <v>6</v>
      </c>
      <c r="G156" s="2" t="s">
        <v>246</v>
      </c>
      <c r="H156" s="2">
        <v>8803</v>
      </c>
      <c r="I156" s="2">
        <v>367.99</v>
      </c>
      <c r="J156" s="2">
        <v>1587</v>
      </c>
      <c r="K156" s="2">
        <v>898</v>
      </c>
      <c r="L156" s="2">
        <v>129</v>
      </c>
      <c r="M156" s="2">
        <v>88</v>
      </c>
      <c r="N156" s="2">
        <v>0.81699999999999995</v>
      </c>
      <c r="O156" s="2">
        <v>1.452</v>
      </c>
      <c r="P156" s="2">
        <v>0.68899999999999995</v>
      </c>
      <c r="Q156" s="13">
        <v>0.96299999999999997</v>
      </c>
    </row>
    <row r="157" spans="1:17">
      <c r="A157" s="1" t="s">
        <v>12</v>
      </c>
      <c r="B157" s="2" t="s">
        <v>4</v>
      </c>
      <c r="C157" s="2" t="s">
        <v>8</v>
      </c>
      <c r="D157" s="2">
        <v>16</v>
      </c>
      <c r="E157" s="2" t="s">
        <v>77</v>
      </c>
      <c r="F157" s="16">
        <v>7</v>
      </c>
      <c r="G157" s="16" t="s">
        <v>247</v>
      </c>
      <c r="H157" s="16">
        <v>9014</v>
      </c>
      <c r="I157" s="16">
        <v>390.57600000000002</v>
      </c>
      <c r="J157" s="16">
        <v>2207</v>
      </c>
      <c r="K157" s="16">
        <v>931</v>
      </c>
      <c r="L157" s="16">
        <v>133</v>
      </c>
      <c r="M157" s="16">
        <v>91</v>
      </c>
      <c r="N157" s="16">
        <v>0.74299999999999999</v>
      </c>
      <c r="O157" s="16">
        <v>1.474</v>
      </c>
      <c r="P157" s="16">
        <v>0.67900000000000005</v>
      </c>
      <c r="Q157" s="17">
        <v>0.95399999999999996</v>
      </c>
    </row>
    <row r="158" spans="1:17">
      <c r="A158" s="1" t="s">
        <v>12</v>
      </c>
      <c r="B158" s="2" t="s">
        <v>4</v>
      </c>
      <c r="C158" s="2" t="s">
        <v>8</v>
      </c>
      <c r="D158" s="2">
        <v>16</v>
      </c>
      <c r="E158" s="2" t="s">
        <v>77</v>
      </c>
      <c r="F158" s="2">
        <v>8</v>
      </c>
      <c r="G158" s="2" t="s">
        <v>248</v>
      </c>
      <c r="H158" s="2">
        <v>5601</v>
      </c>
      <c r="I158" s="2">
        <v>307.80599999999998</v>
      </c>
      <c r="J158" s="2">
        <v>1592</v>
      </c>
      <c r="K158" s="2">
        <v>1040</v>
      </c>
      <c r="L158" s="2">
        <v>114</v>
      </c>
      <c r="M158" s="2">
        <v>68</v>
      </c>
      <c r="N158" s="2">
        <v>0.74299999999999999</v>
      </c>
      <c r="O158" s="2">
        <v>1.849</v>
      </c>
      <c r="P158" s="2">
        <v>0.54100000000000004</v>
      </c>
      <c r="Q158" s="13">
        <v>0.95499999999999996</v>
      </c>
    </row>
    <row r="159" spans="1:17">
      <c r="A159" s="1" t="s">
        <v>12</v>
      </c>
      <c r="B159" s="2" t="s">
        <v>4</v>
      </c>
      <c r="C159" s="2" t="s">
        <v>8</v>
      </c>
      <c r="D159" s="2">
        <v>16</v>
      </c>
      <c r="E159" s="2" t="s">
        <v>77</v>
      </c>
      <c r="F159" s="2">
        <v>9</v>
      </c>
      <c r="G159" s="2" t="s">
        <v>249</v>
      </c>
      <c r="H159" s="2">
        <v>3806</v>
      </c>
      <c r="I159" s="2">
        <v>259.03699999999998</v>
      </c>
      <c r="J159" s="2">
        <v>2228</v>
      </c>
      <c r="K159" s="2">
        <v>1074</v>
      </c>
      <c r="L159" s="2">
        <v>87</v>
      </c>
      <c r="M159" s="2">
        <v>60</v>
      </c>
      <c r="N159" s="2">
        <v>0.71299999999999997</v>
      </c>
      <c r="O159" s="2">
        <v>1.482</v>
      </c>
      <c r="P159" s="2">
        <v>0.67500000000000004</v>
      </c>
      <c r="Q159" s="13">
        <v>0.92300000000000004</v>
      </c>
    </row>
    <row r="160" spans="1:17">
      <c r="A160" s="1" t="s">
        <v>12</v>
      </c>
      <c r="B160" s="2" t="s">
        <v>4</v>
      </c>
      <c r="C160" s="2" t="s">
        <v>8</v>
      </c>
      <c r="D160" s="2">
        <v>16</v>
      </c>
      <c r="E160" s="2" t="s">
        <v>77</v>
      </c>
      <c r="F160" s="2">
        <v>10</v>
      </c>
      <c r="G160" s="2" t="s">
        <v>250</v>
      </c>
      <c r="H160" s="2">
        <v>5592</v>
      </c>
      <c r="I160" s="2">
        <v>307.12</v>
      </c>
      <c r="J160" s="2">
        <v>1612</v>
      </c>
      <c r="K160" s="2">
        <v>1121</v>
      </c>
      <c r="L160" s="2">
        <v>110</v>
      </c>
      <c r="M160" s="2">
        <v>74</v>
      </c>
      <c r="N160" s="2">
        <v>0.745</v>
      </c>
      <c r="O160" s="2">
        <v>1.792</v>
      </c>
      <c r="P160" s="2">
        <v>0.55800000000000005</v>
      </c>
      <c r="Q160" s="13">
        <v>0.95899999999999996</v>
      </c>
    </row>
    <row r="161" spans="1:17">
      <c r="A161" s="1" t="s">
        <v>12</v>
      </c>
      <c r="B161" s="2" t="s">
        <v>4</v>
      </c>
      <c r="C161" s="2" t="s">
        <v>8</v>
      </c>
      <c r="D161" s="2">
        <v>16</v>
      </c>
      <c r="E161" s="2" t="s">
        <v>77</v>
      </c>
      <c r="F161" s="2">
        <v>11</v>
      </c>
      <c r="G161" s="2" t="s">
        <v>251</v>
      </c>
      <c r="H161" s="2">
        <v>8451</v>
      </c>
      <c r="I161" s="2">
        <v>352.57600000000002</v>
      </c>
      <c r="J161" s="2">
        <v>2156</v>
      </c>
      <c r="K161" s="2">
        <v>1156</v>
      </c>
      <c r="L161" s="2">
        <v>111</v>
      </c>
      <c r="M161" s="2">
        <v>106</v>
      </c>
      <c r="N161" s="2">
        <v>0.85399999999999998</v>
      </c>
      <c r="O161" s="2">
        <v>1.2789999999999999</v>
      </c>
      <c r="P161" s="2">
        <v>0.78200000000000003</v>
      </c>
      <c r="Q161" s="13">
        <v>0.97199999999999998</v>
      </c>
    </row>
    <row r="162" spans="1:17">
      <c r="A162" s="1" t="s">
        <v>12</v>
      </c>
      <c r="B162" s="2" t="s">
        <v>4</v>
      </c>
      <c r="C162" s="2" t="s">
        <v>8</v>
      </c>
      <c r="D162" s="2">
        <v>16</v>
      </c>
      <c r="E162" s="2" t="s">
        <v>77</v>
      </c>
      <c r="F162" s="2">
        <v>12</v>
      </c>
      <c r="G162" s="2" t="s">
        <v>252</v>
      </c>
      <c r="H162" s="2">
        <v>7336</v>
      </c>
      <c r="I162" s="2">
        <v>343.84800000000001</v>
      </c>
      <c r="J162" s="2">
        <v>1703</v>
      </c>
      <c r="K162" s="2">
        <v>1220</v>
      </c>
      <c r="L162" s="2">
        <v>95</v>
      </c>
      <c r="M162" s="2">
        <v>102</v>
      </c>
      <c r="N162" s="2">
        <v>0.78</v>
      </c>
      <c r="O162" s="2">
        <v>1.276</v>
      </c>
      <c r="P162" s="2">
        <v>0.78400000000000003</v>
      </c>
      <c r="Q162" s="13">
        <v>0.95199999999999996</v>
      </c>
    </row>
    <row r="163" spans="1:17">
      <c r="A163" s="1" t="s">
        <v>12</v>
      </c>
      <c r="B163" s="2" t="s">
        <v>4</v>
      </c>
      <c r="C163" s="2" t="s">
        <v>8</v>
      </c>
      <c r="D163" s="2">
        <v>16</v>
      </c>
      <c r="E163" s="2" t="s">
        <v>77</v>
      </c>
      <c r="F163" s="2">
        <v>13</v>
      </c>
      <c r="G163" s="2" t="s">
        <v>253</v>
      </c>
      <c r="H163" s="2">
        <v>2994</v>
      </c>
      <c r="I163" s="2">
        <v>229.52199999999999</v>
      </c>
      <c r="J163" s="2">
        <v>2109</v>
      </c>
      <c r="K163" s="2">
        <v>1264</v>
      </c>
      <c r="L163" s="2">
        <v>70</v>
      </c>
      <c r="M163" s="2">
        <v>70</v>
      </c>
      <c r="N163" s="2">
        <v>0.71399999999999997</v>
      </c>
      <c r="O163" s="2">
        <v>1.375</v>
      </c>
      <c r="P163" s="2">
        <v>0.72699999999999998</v>
      </c>
      <c r="Q163" s="13">
        <v>0.90600000000000003</v>
      </c>
    </row>
    <row r="164" spans="1:17">
      <c r="A164" s="1" t="s">
        <v>12</v>
      </c>
      <c r="B164" s="2" t="s">
        <v>4</v>
      </c>
      <c r="C164" s="2" t="s">
        <v>8</v>
      </c>
      <c r="D164" s="2">
        <v>16</v>
      </c>
      <c r="E164" s="2" t="s">
        <v>77</v>
      </c>
      <c r="F164" s="2">
        <v>14</v>
      </c>
      <c r="G164" s="2" t="s">
        <v>254</v>
      </c>
      <c r="H164" s="2">
        <v>6387</v>
      </c>
      <c r="I164" s="2">
        <v>308.49200000000002</v>
      </c>
      <c r="J164" s="2">
        <v>1978</v>
      </c>
      <c r="K164" s="2">
        <v>1289</v>
      </c>
      <c r="L164" s="2">
        <v>79</v>
      </c>
      <c r="M164" s="2">
        <v>102</v>
      </c>
      <c r="N164" s="2">
        <v>0.84299999999999997</v>
      </c>
      <c r="O164" s="2">
        <v>1.2909999999999999</v>
      </c>
      <c r="P164" s="2">
        <v>0.77400000000000002</v>
      </c>
      <c r="Q164" s="13">
        <v>0.97299999999999998</v>
      </c>
    </row>
    <row r="165" spans="1:17">
      <c r="A165" s="1" t="s">
        <v>12</v>
      </c>
      <c r="B165" s="2" t="s">
        <v>4</v>
      </c>
      <c r="C165" s="2" t="s">
        <v>8</v>
      </c>
      <c r="D165" s="2">
        <v>16</v>
      </c>
      <c r="E165" s="2" t="s">
        <v>77</v>
      </c>
      <c r="F165" s="2">
        <v>15</v>
      </c>
      <c r="G165" s="2" t="s">
        <v>255</v>
      </c>
      <c r="H165" s="2">
        <v>7034</v>
      </c>
      <c r="I165" s="2">
        <v>339.74700000000001</v>
      </c>
      <c r="J165" s="2">
        <v>1839</v>
      </c>
      <c r="K165" s="2">
        <v>1281</v>
      </c>
      <c r="L165" s="2">
        <v>87</v>
      </c>
      <c r="M165" s="2">
        <v>118</v>
      </c>
      <c r="N165" s="2">
        <v>0.76600000000000001</v>
      </c>
      <c r="O165" s="2">
        <v>1.42</v>
      </c>
      <c r="P165" s="2">
        <v>0.70399999999999996</v>
      </c>
      <c r="Q165" s="13">
        <v>0.94399999999999995</v>
      </c>
    </row>
    <row r="166" spans="1:17">
      <c r="A166" s="1" t="s">
        <v>12</v>
      </c>
      <c r="B166" s="2" t="s">
        <v>4</v>
      </c>
      <c r="C166" s="2" t="s">
        <v>8</v>
      </c>
      <c r="D166" s="2">
        <v>17</v>
      </c>
      <c r="E166" s="2" t="s">
        <v>77</v>
      </c>
      <c r="F166" s="2">
        <v>1</v>
      </c>
      <c r="G166" s="2" t="s">
        <v>256</v>
      </c>
      <c r="H166" s="2">
        <v>3531</v>
      </c>
      <c r="I166" s="2">
        <v>225.38</v>
      </c>
      <c r="J166" s="2">
        <v>1935</v>
      </c>
      <c r="K166" s="2">
        <v>727</v>
      </c>
      <c r="L166" s="2">
        <v>62</v>
      </c>
      <c r="M166" s="2">
        <v>75</v>
      </c>
      <c r="N166" s="2">
        <v>0.874</v>
      </c>
      <c r="O166" s="2">
        <v>1.2769999999999999</v>
      </c>
      <c r="P166" s="2">
        <v>0.78300000000000003</v>
      </c>
      <c r="Q166" s="13">
        <v>0.97399999999999998</v>
      </c>
    </row>
    <row r="167" spans="1:17">
      <c r="A167" s="1" t="s">
        <v>12</v>
      </c>
      <c r="B167" s="2" t="s">
        <v>4</v>
      </c>
      <c r="C167" s="2" t="s">
        <v>8</v>
      </c>
      <c r="D167" s="2">
        <v>17</v>
      </c>
      <c r="E167" s="2" t="s">
        <v>77</v>
      </c>
      <c r="F167" s="2">
        <v>2</v>
      </c>
      <c r="G167" s="2" t="s">
        <v>257</v>
      </c>
      <c r="H167" s="2">
        <v>4244</v>
      </c>
      <c r="I167" s="2">
        <v>248.208</v>
      </c>
      <c r="J167" s="2">
        <v>1824</v>
      </c>
      <c r="K167" s="2">
        <v>726</v>
      </c>
      <c r="L167" s="2">
        <v>64</v>
      </c>
      <c r="M167" s="2">
        <v>85</v>
      </c>
      <c r="N167" s="2">
        <v>0.86599999999999999</v>
      </c>
      <c r="O167" s="2">
        <v>1.35</v>
      </c>
      <c r="P167" s="2">
        <v>0.74099999999999999</v>
      </c>
      <c r="Q167" s="13">
        <v>0.97299999999999998</v>
      </c>
    </row>
    <row r="168" spans="1:17">
      <c r="A168" s="1" t="s">
        <v>12</v>
      </c>
      <c r="B168" s="2" t="s">
        <v>4</v>
      </c>
      <c r="C168" s="2" t="s">
        <v>8</v>
      </c>
      <c r="D168" s="2">
        <v>17</v>
      </c>
      <c r="E168" s="2" t="s">
        <v>77</v>
      </c>
      <c r="F168" s="2">
        <v>3</v>
      </c>
      <c r="G168" s="2" t="s">
        <v>258</v>
      </c>
      <c r="H168" s="2">
        <v>4100</v>
      </c>
      <c r="I168" s="2">
        <v>242.45099999999999</v>
      </c>
      <c r="J168" s="2">
        <v>2032</v>
      </c>
      <c r="K168" s="2">
        <v>775</v>
      </c>
      <c r="L168" s="2">
        <v>71</v>
      </c>
      <c r="M168" s="2">
        <v>75</v>
      </c>
      <c r="N168" s="2">
        <v>0.876</v>
      </c>
      <c r="O168" s="2">
        <v>1.0820000000000001</v>
      </c>
      <c r="P168" s="2">
        <v>0.92400000000000004</v>
      </c>
      <c r="Q168" s="13">
        <v>0.97299999999999998</v>
      </c>
    </row>
    <row r="169" spans="1:17">
      <c r="A169" s="1" t="s">
        <v>12</v>
      </c>
      <c r="B169" s="2" t="s">
        <v>4</v>
      </c>
      <c r="C169" s="2" t="s">
        <v>8</v>
      </c>
      <c r="D169" s="2">
        <v>17</v>
      </c>
      <c r="E169" s="2" t="s">
        <v>77</v>
      </c>
      <c r="F169" s="2">
        <v>4</v>
      </c>
      <c r="G169" s="2" t="s">
        <v>259</v>
      </c>
      <c r="H169" s="2">
        <v>3822</v>
      </c>
      <c r="I169" s="2">
        <v>233.03700000000001</v>
      </c>
      <c r="J169" s="2">
        <v>1634</v>
      </c>
      <c r="K169" s="2">
        <v>804</v>
      </c>
      <c r="L169" s="2">
        <v>72</v>
      </c>
      <c r="M169" s="2">
        <v>70</v>
      </c>
      <c r="N169" s="2">
        <v>0.88400000000000001</v>
      </c>
      <c r="O169" s="2">
        <v>1.1930000000000001</v>
      </c>
      <c r="P169" s="2">
        <v>0.83799999999999997</v>
      </c>
      <c r="Q169" s="13">
        <v>0.97299999999999998</v>
      </c>
    </row>
    <row r="170" spans="1:17">
      <c r="A170" s="1" t="s">
        <v>12</v>
      </c>
      <c r="B170" s="2" t="s">
        <v>4</v>
      </c>
      <c r="C170" s="2" t="s">
        <v>8</v>
      </c>
      <c r="D170" s="2">
        <v>17</v>
      </c>
      <c r="E170" s="2" t="s">
        <v>77</v>
      </c>
      <c r="F170" s="2">
        <v>5</v>
      </c>
      <c r="G170" s="2" t="s">
        <v>260</v>
      </c>
      <c r="H170" s="2">
        <v>4432</v>
      </c>
      <c r="I170" s="2">
        <v>249.86500000000001</v>
      </c>
      <c r="J170" s="2">
        <v>2132</v>
      </c>
      <c r="K170" s="2">
        <v>842</v>
      </c>
      <c r="L170" s="2">
        <v>75</v>
      </c>
      <c r="M170" s="2">
        <v>76</v>
      </c>
      <c r="N170" s="2">
        <v>0.89200000000000002</v>
      </c>
      <c r="O170" s="2">
        <v>1.087</v>
      </c>
      <c r="P170" s="2">
        <v>0.92</v>
      </c>
      <c r="Q170" s="13">
        <v>0.97799999999999998</v>
      </c>
    </row>
    <row r="171" spans="1:17">
      <c r="A171" s="1" t="s">
        <v>12</v>
      </c>
      <c r="B171" s="2" t="s">
        <v>4</v>
      </c>
      <c r="C171" s="2" t="s">
        <v>8</v>
      </c>
      <c r="D171" s="2">
        <v>17</v>
      </c>
      <c r="E171" s="2" t="s">
        <v>77</v>
      </c>
      <c r="F171" s="2">
        <v>6</v>
      </c>
      <c r="G171" s="2" t="s">
        <v>261</v>
      </c>
      <c r="H171" s="2">
        <v>3482</v>
      </c>
      <c r="I171" s="2">
        <v>223.279</v>
      </c>
      <c r="J171" s="2">
        <v>1543</v>
      </c>
      <c r="K171" s="2">
        <v>858</v>
      </c>
      <c r="L171" s="2">
        <v>71</v>
      </c>
      <c r="M171" s="2">
        <v>67</v>
      </c>
      <c r="N171" s="2">
        <v>0.878</v>
      </c>
      <c r="O171" s="2">
        <v>1.244</v>
      </c>
      <c r="P171" s="2">
        <v>0.80400000000000005</v>
      </c>
      <c r="Q171" s="13">
        <v>0.97499999999999998</v>
      </c>
    </row>
    <row r="172" spans="1:17">
      <c r="A172" s="1" t="s">
        <v>12</v>
      </c>
      <c r="B172" s="2" t="s">
        <v>4</v>
      </c>
      <c r="C172" s="2" t="s">
        <v>8</v>
      </c>
      <c r="D172" s="2">
        <v>17</v>
      </c>
      <c r="E172" s="2" t="s">
        <v>77</v>
      </c>
      <c r="F172" s="16">
        <v>7</v>
      </c>
      <c r="G172" s="16" t="s">
        <v>262</v>
      </c>
      <c r="H172" s="16">
        <v>7237</v>
      </c>
      <c r="I172" s="16">
        <v>321.46300000000002</v>
      </c>
      <c r="J172" s="16">
        <v>1491</v>
      </c>
      <c r="K172" s="16">
        <v>940</v>
      </c>
      <c r="L172" s="16">
        <v>102</v>
      </c>
      <c r="M172" s="16">
        <v>93</v>
      </c>
      <c r="N172" s="16">
        <v>0.88</v>
      </c>
      <c r="O172" s="16">
        <v>1.1870000000000001</v>
      </c>
      <c r="P172" s="16">
        <v>0.84199999999999997</v>
      </c>
      <c r="Q172" s="17">
        <v>0.97899999999999998</v>
      </c>
    </row>
    <row r="173" spans="1:17">
      <c r="A173" s="1" t="s">
        <v>12</v>
      </c>
      <c r="B173" s="2" t="s">
        <v>4</v>
      </c>
      <c r="C173" s="2" t="s">
        <v>8</v>
      </c>
      <c r="D173" s="2">
        <v>17</v>
      </c>
      <c r="E173" s="2" t="s">
        <v>77</v>
      </c>
      <c r="F173" s="2">
        <v>8</v>
      </c>
      <c r="G173" s="2" t="s">
        <v>263</v>
      </c>
      <c r="H173" s="2">
        <v>5957</v>
      </c>
      <c r="I173" s="2">
        <v>287.90699999999998</v>
      </c>
      <c r="J173" s="2">
        <v>2180</v>
      </c>
      <c r="K173" s="2">
        <v>964</v>
      </c>
      <c r="L173" s="2">
        <v>89</v>
      </c>
      <c r="M173" s="2">
        <v>86</v>
      </c>
      <c r="N173" s="2">
        <v>0.90300000000000002</v>
      </c>
      <c r="O173" s="2">
        <v>1.069</v>
      </c>
      <c r="P173" s="2">
        <v>0.93500000000000005</v>
      </c>
      <c r="Q173" s="13">
        <v>0.98</v>
      </c>
    </row>
    <row r="174" spans="1:17">
      <c r="A174" s="1" t="s">
        <v>12</v>
      </c>
      <c r="B174" s="2" t="s">
        <v>4</v>
      </c>
      <c r="C174" s="2" t="s">
        <v>8</v>
      </c>
      <c r="D174" s="2">
        <v>17</v>
      </c>
      <c r="E174" s="2" t="s">
        <v>77</v>
      </c>
      <c r="F174" s="2">
        <v>9</v>
      </c>
      <c r="G174" s="2" t="s">
        <v>264</v>
      </c>
      <c r="H174" s="2">
        <v>5328</v>
      </c>
      <c r="I174" s="2">
        <v>274.59300000000002</v>
      </c>
      <c r="J174" s="2">
        <v>2208</v>
      </c>
      <c r="K174" s="2">
        <v>1101</v>
      </c>
      <c r="L174" s="2">
        <v>86</v>
      </c>
      <c r="M174" s="2">
        <v>80</v>
      </c>
      <c r="N174" s="2">
        <v>0.88800000000000001</v>
      </c>
      <c r="O174" s="2">
        <v>1.0820000000000001</v>
      </c>
      <c r="P174" s="2">
        <v>0.92400000000000004</v>
      </c>
      <c r="Q174" s="13">
        <v>0.97699999999999998</v>
      </c>
    </row>
    <row r="175" spans="1:17">
      <c r="A175" s="1" t="s">
        <v>12</v>
      </c>
      <c r="B175" s="2" t="s">
        <v>4</v>
      </c>
      <c r="C175" s="2" t="s">
        <v>8</v>
      </c>
      <c r="D175" s="2">
        <v>17</v>
      </c>
      <c r="E175" s="2" t="s">
        <v>77</v>
      </c>
      <c r="F175" s="2">
        <v>10</v>
      </c>
      <c r="G175" s="2" t="s">
        <v>265</v>
      </c>
      <c r="H175" s="2">
        <v>8693</v>
      </c>
      <c r="I175" s="2">
        <v>353.60500000000002</v>
      </c>
      <c r="J175" s="2">
        <v>1478</v>
      </c>
      <c r="K175" s="2">
        <v>1122</v>
      </c>
      <c r="L175" s="2">
        <v>113</v>
      </c>
      <c r="M175" s="2">
        <v>101</v>
      </c>
      <c r="N175" s="2">
        <v>0.874</v>
      </c>
      <c r="O175" s="2">
        <v>1.256</v>
      </c>
      <c r="P175" s="2">
        <v>0.79600000000000004</v>
      </c>
      <c r="Q175" s="13">
        <v>0.98</v>
      </c>
    </row>
    <row r="176" spans="1:17">
      <c r="A176" s="1" t="s">
        <v>12</v>
      </c>
      <c r="B176" s="2" t="s">
        <v>4</v>
      </c>
      <c r="C176" s="2" t="s">
        <v>8</v>
      </c>
      <c r="D176" s="2">
        <v>17</v>
      </c>
      <c r="E176" s="2" t="s">
        <v>77</v>
      </c>
      <c r="F176" s="2">
        <v>11</v>
      </c>
      <c r="G176" s="2" t="s">
        <v>266</v>
      </c>
      <c r="H176" s="2">
        <v>4469</v>
      </c>
      <c r="I176" s="2">
        <v>275.17899999999997</v>
      </c>
      <c r="J176" s="2">
        <v>1497</v>
      </c>
      <c r="K176" s="2">
        <v>1257</v>
      </c>
      <c r="L176" s="2">
        <v>98</v>
      </c>
      <c r="M176" s="2">
        <v>67</v>
      </c>
      <c r="N176" s="2">
        <v>0.74199999999999999</v>
      </c>
      <c r="O176" s="2">
        <v>1.96</v>
      </c>
      <c r="P176" s="2">
        <v>0.51</v>
      </c>
      <c r="Q176" s="13">
        <v>0.95499999999999996</v>
      </c>
    </row>
    <row r="177" spans="1:17">
      <c r="A177" s="1" t="s">
        <v>12</v>
      </c>
      <c r="B177" s="2" t="s">
        <v>4</v>
      </c>
      <c r="C177" s="2" t="s">
        <v>8</v>
      </c>
      <c r="D177" s="2">
        <v>17</v>
      </c>
      <c r="E177" s="2" t="s">
        <v>77</v>
      </c>
      <c r="F177" s="2">
        <v>12</v>
      </c>
      <c r="G177" s="2" t="s">
        <v>267</v>
      </c>
      <c r="H177" s="2">
        <v>8370</v>
      </c>
      <c r="I177" s="2">
        <v>348.53399999999999</v>
      </c>
      <c r="J177" s="2">
        <v>2162</v>
      </c>
      <c r="K177" s="2">
        <v>1235</v>
      </c>
      <c r="L177" s="2">
        <v>102</v>
      </c>
      <c r="M177" s="2">
        <v>103</v>
      </c>
      <c r="N177" s="2">
        <v>0.86599999999999999</v>
      </c>
      <c r="O177" s="2">
        <v>1.0389999999999999</v>
      </c>
      <c r="P177" s="2">
        <v>0.96199999999999997</v>
      </c>
      <c r="Q177" s="13">
        <v>0.97199999999999998</v>
      </c>
    </row>
    <row r="178" spans="1:17">
      <c r="A178" s="1" t="s">
        <v>12</v>
      </c>
      <c r="B178" s="2" t="s">
        <v>4</v>
      </c>
      <c r="C178" s="2" t="s">
        <v>8</v>
      </c>
      <c r="D178" s="2">
        <v>17</v>
      </c>
      <c r="E178" s="2" t="s">
        <v>77</v>
      </c>
      <c r="F178" s="2">
        <v>13</v>
      </c>
      <c r="G178" s="2" t="s">
        <v>268</v>
      </c>
      <c r="H178" s="2">
        <v>9677</v>
      </c>
      <c r="I178" s="2">
        <v>376.33300000000003</v>
      </c>
      <c r="J178" s="2">
        <v>1556</v>
      </c>
      <c r="K178" s="2">
        <v>1322</v>
      </c>
      <c r="L178" s="2">
        <v>115</v>
      </c>
      <c r="M178" s="2">
        <v>113</v>
      </c>
      <c r="N178" s="2">
        <v>0.85899999999999999</v>
      </c>
      <c r="O178" s="2">
        <v>1.377</v>
      </c>
      <c r="P178" s="2">
        <v>0.72599999999999998</v>
      </c>
      <c r="Q178" s="13">
        <v>0.98299999999999998</v>
      </c>
    </row>
    <row r="179" spans="1:17">
      <c r="A179" s="1" t="s">
        <v>12</v>
      </c>
      <c r="B179" s="2" t="s">
        <v>4</v>
      </c>
      <c r="C179" s="2" t="s">
        <v>8</v>
      </c>
      <c r="D179" s="2">
        <v>17</v>
      </c>
      <c r="E179" s="2" t="s">
        <v>77</v>
      </c>
      <c r="F179" s="2">
        <v>14</v>
      </c>
      <c r="G179" s="2" t="s">
        <v>269</v>
      </c>
      <c r="H179" s="2">
        <v>5988</v>
      </c>
      <c r="I179" s="2">
        <v>324.77699999999999</v>
      </c>
      <c r="J179" s="2">
        <v>2077</v>
      </c>
      <c r="K179" s="2">
        <v>1351</v>
      </c>
      <c r="L179" s="2">
        <v>85</v>
      </c>
      <c r="M179" s="2">
        <v>102</v>
      </c>
      <c r="N179" s="2">
        <v>0.71299999999999997</v>
      </c>
      <c r="O179" s="2">
        <v>1.371</v>
      </c>
      <c r="P179" s="2">
        <v>0.72899999999999998</v>
      </c>
      <c r="Q179" s="13">
        <v>0.94199999999999995</v>
      </c>
    </row>
    <row r="180" spans="1:17">
      <c r="A180" s="1" t="s">
        <v>12</v>
      </c>
      <c r="B180" s="2" t="s">
        <v>4</v>
      </c>
      <c r="C180" s="2" t="s">
        <v>8</v>
      </c>
      <c r="D180" s="2">
        <v>17</v>
      </c>
      <c r="E180" s="2" t="s">
        <v>77</v>
      </c>
      <c r="F180" s="2">
        <v>15</v>
      </c>
      <c r="G180" s="2" t="s">
        <v>270</v>
      </c>
      <c r="H180" s="2">
        <v>3355</v>
      </c>
      <c r="I180" s="2">
        <v>224.79400000000001</v>
      </c>
      <c r="J180" s="2">
        <v>2027</v>
      </c>
      <c r="K180" s="2">
        <v>1439</v>
      </c>
      <c r="L180" s="2">
        <v>59</v>
      </c>
      <c r="M180" s="2">
        <v>78</v>
      </c>
      <c r="N180" s="2">
        <v>0.83399999999999996</v>
      </c>
      <c r="O180" s="2">
        <v>1.47</v>
      </c>
      <c r="P180" s="2">
        <v>0.68</v>
      </c>
      <c r="Q180" s="13">
        <v>0.96799999999999997</v>
      </c>
    </row>
    <row r="181" spans="1:17">
      <c r="A181" s="1" t="s">
        <v>12</v>
      </c>
      <c r="B181" s="2" t="s">
        <v>4</v>
      </c>
      <c r="C181" s="2" t="s">
        <v>8</v>
      </c>
      <c r="D181" s="2">
        <v>17</v>
      </c>
      <c r="E181" s="2" t="s">
        <v>77</v>
      </c>
      <c r="F181" s="2">
        <v>16</v>
      </c>
      <c r="G181" s="2" t="s">
        <v>271</v>
      </c>
      <c r="H181" s="2">
        <v>7807</v>
      </c>
      <c r="I181" s="2">
        <v>341.01900000000001</v>
      </c>
      <c r="J181" s="2">
        <v>1679</v>
      </c>
      <c r="K181" s="2">
        <v>1412</v>
      </c>
      <c r="L181" s="2">
        <v>93</v>
      </c>
      <c r="M181" s="2">
        <v>114</v>
      </c>
      <c r="N181" s="2">
        <v>0.84399999999999997</v>
      </c>
      <c r="O181" s="2">
        <v>1.476</v>
      </c>
      <c r="P181" s="2">
        <v>0.67700000000000005</v>
      </c>
      <c r="Q181" s="13">
        <v>0.97799999999999998</v>
      </c>
    </row>
    <row r="182" spans="1:17">
      <c r="A182" s="1" t="s">
        <v>12</v>
      </c>
      <c r="B182" s="2" t="s">
        <v>4</v>
      </c>
      <c r="C182" s="2" t="s">
        <v>8</v>
      </c>
      <c r="D182" s="2">
        <v>17</v>
      </c>
      <c r="E182" s="2" t="s">
        <v>77</v>
      </c>
      <c r="F182" s="2">
        <v>17</v>
      </c>
      <c r="G182" s="2" t="s">
        <v>272</v>
      </c>
      <c r="H182" s="2">
        <v>5618</v>
      </c>
      <c r="I182" s="2">
        <v>290.108</v>
      </c>
      <c r="J182" s="2">
        <v>1906</v>
      </c>
      <c r="K182" s="2">
        <v>1458</v>
      </c>
      <c r="L182" s="2">
        <v>71</v>
      </c>
      <c r="M182" s="2">
        <v>100</v>
      </c>
      <c r="N182" s="2">
        <v>0.83899999999999997</v>
      </c>
      <c r="O182" s="2">
        <v>1.397</v>
      </c>
      <c r="P182" s="2">
        <v>0.71599999999999997</v>
      </c>
      <c r="Q182" s="13">
        <v>0.96799999999999997</v>
      </c>
    </row>
    <row r="183" spans="1:17">
      <c r="A183" s="1" t="s">
        <v>12</v>
      </c>
      <c r="B183" s="2" t="s">
        <v>4</v>
      </c>
      <c r="C183" s="2" t="s">
        <v>8</v>
      </c>
      <c r="D183" s="2">
        <v>17</v>
      </c>
      <c r="E183" s="2" t="s">
        <v>77</v>
      </c>
      <c r="F183" s="2">
        <v>18</v>
      </c>
      <c r="G183" s="2" t="s">
        <v>273</v>
      </c>
      <c r="H183" s="2">
        <v>4740</v>
      </c>
      <c r="I183" s="2">
        <v>275.07799999999997</v>
      </c>
      <c r="J183" s="2">
        <v>1779</v>
      </c>
      <c r="K183" s="2">
        <v>1462</v>
      </c>
      <c r="L183" s="2">
        <v>70</v>
      </c>
      <c r="M183" s="2">
        <v>97</v>
      </c>
      <c r="N183" s="2">
        <v>0.78700000000000003</v>
      </c>
      <c r="O183" s="2">
        <v>1.665</v>
      </c>
      <c r="P183" s="2">
        <v>0.6</v>
      </c>
      <c r="Q183" s="13">
        <v>0.96799999999999997</v>
      </c>
    </row>
    <row r="184" spans="1:17">
      <c r="A184" s="1" t="s">
        <v>12</v>
      </c>
      <c r="B184" s="2" t="s">
        <v>4</v>
      </c>
      <c r="C184" s="2" t="s">
        <v>8</v>
      </c>
      <c r="D184" s="2">
        <v>18</v>
      </c>
      <c r="E184" s="2" t="s">
        <v>77</v>
      </c>
      <c r="F184" s="2">
        <v>1</v>
      </c>
      <c r="G184" s="2" t="s">
        <v>55</v>
      </c>
      <c r="H184" s="2">
        <v>425</v>
      </c>
      <c r="I184" s="2">
        <v>79.012</v>
      </c>
      <c r="J184" s="2">
        <v>1817</v>
      </c>
      <c r="K184" s="2">
        <v>944</v>
      </c>
      <c r="L184" s="2">
        <v>19</v>
      </c>
      <c r="M184" s="2">
        <v>29</v>
      </c>
      <c r="N184" s="2">
        <v>0.85499999999999998</v>
      </c>
      <c r="O184" s="2">
        <v>1.5269999999999999</v>
      </c>
      <c r="P184" s="2">
        <v>0.65500000000000003</v>
      </c>
      <c r="Q184" s="13">
        <v>0.94899999999999995</v>
      </c>
    </row>
    <row r="185" spans="1:17">
      <c r="A185" s="1" t="s">
        <v>12</v>
      </c>
      <c r="B185" s="2" t="s">
        <v>4</v>
      </c>
      <c r="C185" s="2" t="s">
        <v>8</v>
      </c>
      <c r="D185" s="2">
        <v>18</v>
      </c>
      <c r="E185" s="2" t="s">
        <v>77</v>
      </c>
      <c r="F185" s="2">
        <v>2</v>
      </c>
      <c r="G185" s="2" t="s">
        <v>56</v>
      </c>
      <c r="H185" s="2">
        <v>940</v>
      </c>
      <c r="I185" s="2">
        <v>113.983</v>
      </c>
      <c r="J185" s="2">
        <v>1932</v>
      </c>
      <c r="K185" s="2">
        <v>947</v>
      </c>
      <c r="L185" s="2">
        <v>33</v>
      </c>
      <c r="M185" s="2">
        <v>36</v>
      </c>
      <c r="N185" s="2">
        <v>0.90900000000000003</v>
      </c>
      <c r="O185" s="2">
        <v>1.139</v>
      </c>
      <c r="P185" s="2">
        <v>0.878</v>
      </c>
      <c r="Q185" s="13">
        <v>0.96199999999999997</v>
      </c>
    </row>
    <row r="186" spans="1:17">
      <c r="A186" s="1" t="s">
        <v>12</v>
      </c>
      <c r="B186" s="2" t="s">
        <v>4</v>
      </c>
      <c r="C186" s="2" t="s">
        <v>8</v>
      </c>
      <c r="D186" s="2">
        <v>18</v>
      </c>
      <c r="E186" s="2" t="s">
        <v>77</v>
      </c>
      <c r="F186" s="2">
        <v>3</v>
      </c>
      <c r="G186" s="2" t="s">
        <v>57</v>
      </c>
      <c r="H186" s="2">
        <v>1317</v>
      </c>
      <c r="I186" s="2">
        <v>138.46799999999999</v>
      </c>
      <c r="J186" s="2">
        <v>1853</v>
      </c>
      <c r="K186" s="2">
        <v>940</v>
      </c>
      <c r="L186" s="2">
        <v>35</v>
      </c>
      <c r="M186" s="2">
        <v>48</v>
      </c>
      <c r="N186" s="2">
        <v>0.86299999999999999</v>
      </c>
      <c r="O186" s="2">
        <v>1.3680000000000001</v>
      </c>
      <c r="P186" s="2">
        <v>0.73099999999999998</v>
      </c>
      <c r="Q186" s="13">
        <v>0.96199999999999997</v>
      </c>
    </row>
    <row r="187" spans="1:17">
      <c r="A187" s="1" t="s">
        <v>12</v>
      </c>
      <c r="B187" s="2" t="s">
        <v>4</v>
      </c>
      <c r="C187" s="2" t="s">
        <v>8</v>
      </c>
      <c r="D187" s="2">
        <v>18</v>
      </c>
      <c r="E187" s="2" t="s">
        <v>77</v>
      </c>
      <c r="F187" s="16">
        <v>4</v>
      </c>
      <c r="G187" s="16" t="s">
        <v>58</v>
      </c>
      <c r="H187" s="16">
        <v>1388</v>
      </c>
      <c r="I187" s="16">
        <v>138.125</v>
      </c>
      <c r="J187" s="16">
        <v>1714</v>
      </c>
      <c r="K187" s="16">
        <v>978</v>
      </c>
      <c r="L187" s="16">
        <v>41</v>
      </c>
      <c r="M187" s="16">
        <v>43</v>
      </c>
      <c r="N187" s="16">
        <v>0.91400000000000003</v>
      </c>
      <c r="O187" s="16">
        <v>1.06</v>
      </c>
      <c r="P187" s="16">
        <v>0.94399999999999995</v>
      </c>
      <c r="Q187" s="17">
        <v>0.96899999999999997</v>
      </c>
    </row>
    <row r="188" spans="1:17">
      <c r="A188" s="1" t="s">
        <v>12</v>
      </c>
      <c r="B188" s="2" t="s">
        <v>4</v>
      </c>
      <c r="C188" s="2" t="s">
        <v>8</v>
      </c>
      <c r="D188" s="2">
        <v>18</v>
      </c>
      <c r="E188" s="2" t="s">
        <v>77</v>
      </c>
      <c r="F188" s="2">
        <v>5</v>
      </c>
      <c r="G188" s="2" t="s">
        <v>59</v>
      </c>
      <c r="H188" s="2">
        <v>619</v>
      </c>
      <c r="I188" s="2">
        <v>94.325999999999993</v>
      </c>
      <c r="J188" s="2">
        <v>1986</v>
      </c>
      <c r="K188" s="2">
        <v>998</v>
      </c>
      <c r="L188" s="2">
        <v>29</v>
      </c>
      <c r="M188" s="2">
        <v>29</v>
      </c>
      <c r="N188" s="2">
        <v>0.874</v>
      </c>
      <c r="O188" s="2">
        <v>1.44</v>
      </c>
      <c r="P188" s="2">
        <v>0.69499999999999995</v>
      </c>
      <c r="Q188" s="13">
        <v>0.95699999999999996</v>
      </c>
    </row>
    <row r="189" spans="1:17">
      <c r="A189" s="1" t="s">
        <v>12</v>
      </c>
      <c r="B189" s="2" t="s">
        <v>4</v>
      </c>
      <c r="C189" s="2" t="s">
        <v>8</v>
      </c>
      <c r="D189" s="2">
        <v>18</v>
      </c>
      <c r="E189" s="2" t="s">
        <v>77</v>
      </c>
      <c r="F189" s="2">
        <v>6</v>
      </c>
      <c r="G189" s="2" t="s">
        <v>60</v>
      </c>
      <c r="H189" s="2">
        <v>844</v>
      </c>
      <c r="I189" s="2">
        <v>109.983</v>
      </c>
      <c r="J189" s="2">
        <v>1631</v>
      </c>
      <c r="K189" s="2">
        <v>1012</v>
      </c>
      <c r="L189" s="2">
        <v>32</v>
      </c>
      <c r="M189" s="2">
        <v>35</v>
      </c>
      <c r="N189" s="2">
        <v>0.877</v>
      </c>
      <c r="O189" s="2">
        <v>1.216</v>
      </c>
      <c r="P189" s="2">
        <v>0.82199999999999995</v>
      </c>
      <c r="Q189" s="13">
        <v>0.95199999999999996</v>
      </c>
    </row>
    <row r="190" spans="1:17">
      <c r="A190" s="1" t="s">
        <v>12</v>
      </c>
      <c r="B190" s="2" t="s">
        <v>4</v>
      </c>
      <c r="C190" s="2" t="s">
        <v>8</v>
      </c>
      <c r="D190" s="2">
        <v>18</v>
      </c>
      <c r="E190" s="2" t="s">
        <v>77</v>
      </c>
      <c r="F190" s="2">
        <v>7</v>
      </c>
      <c r="G190" s="2" t="s">
        <v>61</v>
      </c>
      <c r="H190" s="2">
        <v>653</v>
      </c>
      <c r="I190" s="2">
        <v>99.054000000000002</v>
      </c>
      <c r="J190" s="2">
        <v>2004</v>
      </c>
      <c r="K190" s="2">
        <v>1015</v>
      </c>
      <c r="L190" s="2">
        <v>29</v>
      </c>
      <c r="M190" s="2">
        <v>34</v>
      </c>
      <c r="N190" s="2">
        <v>0.83599999999999997</v>
      </c>
      <c r="O190" s="2">
        <v>1.548</v>
      </c>
      <c r="P190" s="2">
        <v>0.64600000000000002</v>
      </c>
      <c r="Q190" s="13">
        <v>0.94399999999999995</v>
      </c>
    </row>
    <row r="191" spans="1:17">
      <c r="A191" s="1" t="s">
        <v>12</v>
      </c>
      <c r="B191" s="2" t="s">
        <v>4</v>
      </c>
      <c r="C191" s="2" t="s">
        <v>8</v>
      </c>
      <c r="D191" s="2">
        <v>18</v>
      </c>
      <c r="E191" s="2" t="s">
        <v>77</v>
      </c>
      <c r="F191" s="2">
        <v>8</v>
      </c>
      <c r="G191" s="2" t="s">
        <v>62</v>
      </c>
      <c r="H191" s="2">
        <v>2047</v>
      </c>
      <c r="I191" s="2">
        <v>169.92400000000001</v>
      </c>
      <c r="J191" s="2">
        <v>1573</v>
      </c>
      <c r="K191" s="2">
        <v>1087</v>
      </c>
      <c r="L191" s="2">
        <v>52</v>
      </c>
      <c r="M191" s="2">
        <v>52</v>
      </c>
      <c r="N191" s="2">
        <v>0.89100000000000001</v>
      </c>
      <c r="O191" s="2">
        <v>1.0900000000000001</v>
      </c>
      <c r="P191" s="2">
        <v>0.91700000000000004</v>
      </c>
      <c r="Q191" s="13">
        <v>0.96399999999999997</v>
      </c>
    </row>
    <row r="192" spans="1:17">
      <c r="A192" s="1" t="s">
        <v>12</v>
      </c>
      <c r="B192" s="2" t="s">
        <v>4</v>
      </c>
      <c r="C192" s="2" t="s">
        <v>8</v>
      </c>
      <c r="D192" s="2">
        <v>18</v>
      </c>
      <c r="E192" s="2" t="s">
        <v>77</v>
      </c>
      <c r="F192" s="2">
        <v>9</v>
      </c>
      <c r="G192" s="2" t="s">
        <v>63</v>
      </c>
      <c r="H192" s="2">
        <v>1198</v>
      </c>
      <c r="I192" s="2">
        <v>128.46799999999999</v>
      </c>
      <c r="J192" s="2">
        <v>2081</v>
      </c>
      <c r="K192" s="2">
        <v>1122</v>
      </c>
      <c r="L192" s="2">
        <v>40</v>
      </c>
      <c r="M192" s="2">
        <v>38</v>
      </c>
      <c r="N192" s="2">
        <v>0.91200000000000003</v>
      </c>
      <c r="O192" s="2">
        <v>1.0569999999999999</v>
      </c>
      <c r="P192" s="2">
        <v>0.94599999999999995</v>
      </c>
      <c r="Q192" s="13">
        <v>0.96699999999999997</v>
      </c>
    </row>
    <row r="193" spans="1:17">
      <c r="A193" s="1" t="s">
        <v>12</v>
      </c>
      <c r="B193" s="2" t="s">
        <v>4</v>
      </c>
      <c r="C193" s="2" t="s">
        <v>8</v>
      </c>
      <c r="D193" s="2">
        <v>18</v>
      </c>
      <c r="E193" s="2" t="s">
        <v>77</v>
      </c>
      <c r="F193" s="2">
        <v>10</v>
      </c>
      <c r="G193" s="2" t="s">
        <v>64</v>
      </c>
      <c r="H193" s="2">
        <v>2184</v>
      </c>
      <c r="I193" s="2">
        <v>174.51</v>
      </c>
      <c r="J193" s="2">
        <v>1531</v>
      </c>
      <c r="K193" s="2">
        <v>1177</v>
      </c>
      <c r="L193" s="2">
        <v>57</v>
      </c>
      <c r="M193" s="2">
        <v>49</v>
      </c>
      <c r="N193" s="2">
        <v>0.90100000000000002</v>
      </c>
      <c r="O193" s="2">
        <v>1.1990000000000001</v>
      </c>
      <c r="P193" s="2">
        <v>0.83399999999999996</v>
      </c>
      <c r="Q193" s="13">
        <v>0.97199999999999998</v>
      </c>
    </row>
    <row r="194" spans="1:17">
      <c r="A194" s="1" t="s">
        <v>12</v>
      </c>
      <c r="B194" s="2" t="s">
        <v>4</v>
      </c>
      <c r="C194" s="2" t="s">
        <v>8</v>
      </c>
      <c r="D194" s="2">
        <v>18</v>
      </c>
      <c r="E194" s="2" t="s">
        <v>77</v>
      </c>
      <c r="F194" s="2">
        <v>11</v>
      </c>
      <c r="G194" s="2" t="s">
        <v>65</v>
      </c>
      <c r="H194" s="2">
        <v>2240</v>
      </c>
      <c r="I194" s="2">
        <v>178.51</v>
      </c>
      <c r="J194" s="2">
        <v>2086</v>
      </c>
      <c r="K194" s="2">
        <v>1214</v>
      </c>
      <c r="L194" s="2">
        <v>58</v>
      </c>
      <c r="M194" s="2">
        <v>50</v>
      </c>
      <c r="N194" s="2">
        <v>0.88300000000000001</v>
      </c>
      <c r="O194" s="2">
        <v>1.1879999999999999</v>
      </c>
      <c r="P194" s="2">
        <v>0.84199999999999997</v>
      </c>
      <c r="Q194" s="13">
        <v>0.96899999999999997</v>
      </c>
    </row>
    <row r="195" spans="1:17">
      <c r="A195" s="1" t="s">
        <v>12</v>
      </c>
      <c r="B195" s="2" t="s">
        <v>4</v>
      </c>
      <c r="C195" s="2" t="s">
        <v>8</v>
      </c>
      <c r="D195" s="2">
        <v>18</v>
      </c>
      <c r="E195" s="2" t="s">
        <v>77</v>
      </c>
      <c r="F195" s="2">
        <v>12</v>
      </c>
      <c r="G195" s="2" t="s">
        <v>66</v>
      </c>
      <c r="H195" s="2">
        <v>2039</v>
      </c>
      <c r="I195" s="2">
        <v>170.51</v>
      </c>
      <c r="J195" s="2">
        <v>1523</v>
      </c>
      <c r="K195" s="2">
        <v>1248</v>
      </c>
      <c r="L195" s="2">
        <v>56</v>
      </c>
      <c r="M195" s="2">
        <v>48</v>
      </c>
      <c r="N195" s="2">
        <v>0.88100000000000001</v>
      </c>
      <c r="O195" s="2">
        <v>1.1950000000000001</v>
      </c>
      <c r="P195" s="2">
        <v>0.83699999999999997</v>
      </c>
      <c r="Q195" s="13">
        <v>0.96699999999999997</v>
      </c>
    </row>
    <row r="196" spans="1:17">
      <c r="A196" s="1" t="s">
        <v>12</v>
      </c>
      <c r="B196" s="2" t="s">
        <v>4</v>
      </c>
      <c r="C196" s="2" t="s">
        <v>8</v>
      </c>
      <c r="D196" s="2">
        <v>18</v>
      </c>
      <c r="E196" s="2" t="s">
        <v>77</v>
      </c>
      <c r="F196" s="2">
        <v>13</v>
      </c>
      <c r="G196" s="2" t="s">
        <v>67</v>
      </c>
      <c r="H196" s="2">
        <v>2313</v>
      </c>
      <c r="I196" s="2">
        <v>183.43899999999999</v>
      </c>
      <c r="J196" s="2">
        <v>2088</v>
      </c>
      <c r="K196" s="2">
        <v>1305</v>
      </c>
      <c r="L196" s="2">
        <v>63</v>
      </c>
      <c r="M196" s="2">
        <v>46</v>
      </c>
      <c r="N196" s="2">
        <v>0.86399999999999999</v>
      </c>
      <c r="O196" s="2">
        <v>1.3660000000000001</v>
      </c>
      <c r="P196" s="2">
        <v>0.73199999999999998</v>
      </c>
      <c r="Q196" s="13">
        <v>0.96699999999999997</v>
      </c>
    </row>
    <row r="197" spans="1:17">
      <c r="A197" s="1" t="s">
        <v>12</v>
      </c>
      <c r="B197" s="2" t="s">
        <v>4</v>
      </c>
      <c r="C197" s="2" t="s">
        <v>8</v>
      </c>
      <c r="D197" s="2">
        <v>18</v>
      </c>
      <c r="E197" s="2" t="s">
        <v>77</v>
      </c>
      <c r="F197" s="2">
        <v>14</v>
      </c>
      <c r="G197" s="2" t="s">
        <v>68</v>
      </c>
      <c r="H197" s="2">
        <v>2186</v>
      </c>
      <c r="I197" s="2">
        <v>174.267</v>
      </c>
      <c r="J197" s="2">
        <v>1550</v>
      </c>
      <c r="K197" s="2">
        <v>1339</v>
      </c>
      <c r="L197" s="2">
        <v>56</v>
      </c>
      <c r="M197" s="2">
        <v>49</v>
      </c>
      <c r="N197" s="2">
        <v>0.90500000000000003</v>
      </c>
      <c r="O197" s="2">
        <v>1.145</v>
      </c>
      <c r="P197" s="2">
        <v>0.873</v>
      </c>
      <c r="Q197" s="13">
        <v>0.97499999999999998</v>
      </c>
    </row>
    <row r="198" spans="1:17">
      <c r="A198" s="1" t="s">
        <v>12</v>
      </c>
      <c r="B198" s="2" t="s">
        <v>4</v>
      </c>
      <c r="C198" s="2" t="s">
        <v>8</v>
      </c>
      <c r="D198" s="2">
        <v>18</v>
      </c>
      <c r="E198" s="2" t="s">
        <v>77</v>
      </c>
      <c r="F198" s="2">
        <v>15</v>
      </c>
      <c r="G198" s="2" t="s">
        <v>69</v>
      </c>
      <c r="H198" s="2">
        <v>1432</v>
      </c>
      <c r="I198" s="2">
        <v>140.71100000000001</v>
      </c>
      <c r="J198" s="2">
        <v>2076</v>
      </c>
      <c r="K198" s="2">
        <v>1386</v>
      </c>
      <c r="L198" s="2">
        <v>45</v>
      </c>
      <c r="M198" s="2">
        <v>40</v>
      </c>
      <c r="N198" s="2">
        <v>0.90900000000000003</v>
      </c>
      <c r="O198" s="2">
        <v>1.157</v>
      </c>
      <c r="P198" s="2">
        <v>0.86399999999999999</v>
      </c>
      <c r="Q198" s="13">
        <v>0.97</v>
      </c>
    </row>
    <row r="199" spans="1:17">
      <c r="A199" s="1" t="s">
        <v>12</v>
      </c>
      <c r="B199" s="2" t="s">
        <v>4</v>
      </c>
      <c r="C199" s="2" t="s">
        <v>8</v>
      </c>
      <c r="D199" s="2">
        <v>18</v>
      </c>
      <c r="E199" s="2" t="s">
        <v>77</v>
      </c>
      <c r="F199" s="2">
        <v>16</v>
      </c>
      <c r="G199" s="2" t="s">
        <v>70</v>
      </c>
      <c r="H199" s="2">
        <v>1596</v>
      </c>
      <c r="I199" s="2">
        <v>150.36799999999999</v>
      </c>
      <c r="J199" s="2">
        <v>1585</v>
      </c>
      <c r="K199" s="2">
        <v>1418</v>
      </c>
      <c r="L199" s="2">
        <v>47</v>
      </c>
      <c r="M199" s="2">
        <v>44</v>
      </c>
      <c r="N199" s="2">
        <v>0.88700000000000001</v>
      </c>
      <c r="O199" s="2">
        <v>1.226</v>
      </c>
      <c r="P199" s="2">
        <v>0.81599999999999995</v>
      </c>
      <c r="Q199" s="13">
        <v>0.96699999999999997</v>
      </c>
    </row>
    <row r="200" spans="1:17">
      <c r="A200" s="1" t="s">
        <v>12</v>
      </c>
      <c r="B200" s="2" t="s">
        <v>4</v>
      </c>
      <c r="C200" s="2" t="s">
        <v>8</v>
      </c>
      <c r="D200" s="2">
        <v>18</v>
      </c>
      <c r="E200" s="2" t="s">
        <v>77</v>
      </c>
      <c r="F200" s="2">
        <v>17</v>
      </c>
      <c r="G200" s="2" t="s">
        <v>71</v>
      </c>
      <c r="H200" s="2">
        <v>962</v>
      </c>
      <c r="I200" s="2">
        <v>115.154</v>
      </c>
      <c r="J200" s="2">
        <v>2029</v>
      </c>
      <c r="K200" s="2">
        <v>1467</v>
      </c>
      <c r="L200" s="2">
        <v>36</v>
      </c>
      <c r="M200" s="2">
        <v>33</v>
      </c>
      <c r="N200" s="2">
        <v>0.91200000000000003</v>
      </c>
      <c r="O200" s="2">
        <v>1.0940000000000001</v>
      </c>
      <c r="P200" s="2">
        <v>0.91400000000000003</v>
      </c>
      <c r="Q200" s="13">
        <v>0.96699999999999997</v>
      </c>
    </row>
    <row r="201" spans="1:17">
      <c r="A201" s="1" t="s">
        <v>12</v>
      </c>
      <c r="B201" s="2" t="s">
        <v>4</v>
      </c>
      <c r="C201" s="2" t="s">
        <v>8</v>
      </c>
      <c r="D201" s="2">
        <v>18</v>
      </c>
      <c r="E201" s="2" t="s">
        <v>77</v>
      </c>
      <c r="F201" s="2">
        <v>18</v>
      </c>
      <c r="G201" s="2" t="s">
        <v>72</v>
      </c>
      <c r="H201" s="2">
        <v>2265</v>
      </c>
      <c r="I201" s="2">
        <v>179.92400000000001</v>
      </c>
      <c r="J201" s="2">
        <v>1638</v>
      </c>
      <c r="K201" s="2">
        <v>1447</v>
      </c>
      <c r="L201" s="2">
        <v>52</v>
      </c>
      <c r="M201" s="2">
        <v>57</v>
      </c>
      <c r="N201" s="2">
        <v>0.879</v>
      </c>
      <c r="O201" s="2">
        <v>1.127</v>
      </c>
      <c r="P201" s="2">
        <v>0.88700000000000001</v>
      </c>
      <c r="Q201" s="13">
        <v>0.97</v>
      </c>
    </row>
    <row r="202" spans="1:17">
      <c r="A202" s="1" t="s">
        <v>12</v>
      </c>
      <c r="B202" s="2" t="s">
        <v>4</v>
      </c>
      <c r="C202" s="2" t="s">
        <v>8</v>
      </c>
      <c r="D202" s="2">
        <v>18</v>
      </c>
      <c r="E202" s="2" t="s">
        <v>77</v>
      </c>
      <c r="F202" s="2">
        <v>19</v>
      </c>
      <c r="G202" s="2" t="s">
        <v>73</v>
      </c>
      <c r="H202" s="2">
        <v>2377</v>
      </c>
      <c r="I202" s="2">
        <v>183.92400000000001</v>
      </c>
      <c r="J202" s="2">
        <v>1952</v>
      </c>
      <c r="K202" s="2">
        <v>1472</v>
      </c>
      <c r="L202" s="2">
        <v>54</v>
      </c>
      <c r="M202" s="2">
        <v>57</v>
      </c>
      <c r="N202" s="2">
        <v>0.88300000000000001</v>
      </c>
      <c r="O202" s="2">
        <v>1.129</v>
      </c>
      <c r="P202" s="2">
        <v>0.88600000000000001</v>
      </c>
      <c r="Q202" s="13">
        <v>0.96699999999999997</v>
      </c>
    </row>
    <row r="203" spans="1:17">
      <c r="A203" s="1" t="s">
        <v>12</v>
      </c>
      <c r="B203" s="2" t="s">
        <v>4</v>
      </c>
      <c r="C203" s="2" t="s">
        <v>8</v>
      </c>
      <c r="D203" s="2">
        <v>18</v>
      </c>
      <c r="E203" s="2" t="s">
        <v>77</v>
      </c>
      <c r="F203" s="2">
        <v>20</v>
      </c>
      <c r="G203" s="2" t="s">
        <v>74</v>
      </c>
      <c r="H203" s="2">
        <v>862</v>
      </c>
      <c r="I203" s="2">
        <v>110.22499999999999</v>
      </c>
      <c r="J203" s="2">
        <v>1892</v>
      </c>
      <c r="K203" s="2">
        <v>1522</v>
      </c>
      <c r="L203" s="2">
        <v>31</v>
      </c>
      <c r="M203" s="2">
        <v>37</v>
      </c>
      <c r="N203" s="2">
        <v>0.89200000000000002</v>
      </c>
      <c r="O203" s="2">
        <v>1.268</v>
      </c>
      <c r="P203" s="2">
        <v>0.78900000000000003</v>
      </c>
      <c r="Q203" s="13">
        <v>0.95699999999999996</v>
      </c>
    </row>
    <row r="204" spans="1:17">
      <c r="A204" s="1" t="s">
        <v>12</v>
      </c>
      <c r="B204" s="2" t="s">
        <v>4</v>
      </c>
      <c r="C204" s="2" t="s">
        <v>8</v>
      </c>
      <c r="D204" s="2">
        <v>18</v>
      </c>
      <c r="E204" s="2" t="s">
        <v>77</v>
      </c>
      <c r="F204" s="2">
        <v>21</v>
      </c>
      <c r="G204" s="2" t="s">
        <v>75</v>
      </c>
      <c r="H204" s="2">
        <v>142</v>
      </c>
      <c r="I204" s="2">
        <v>45.456000000000003</v>
      </c>
      <c r="J204" s="2">
        <v>1849</v>
      </c>
      <c r="K204" s="2">
        <v>1543</v>
      </c>
      <c r="L204" s="2">
        <v>10</v>
      </c>
      <c r="M204" s="2">
        <v>18</v>
      </c>
      <c r="N204" s="2">
        <v>0.86399999999999999</v>
      </c>
      <c r="O204" s="2">
        <v>1.6559999999999999</v>
      </c>
      <c r="P204" s="2">
        <v>0.60399999999999998</v>
      </c>
      <c r="Q204" s="13">
        <v>0.93400000000000005</v>
      </c>
    </row>
    <row r="205" spans="1:17">
      <c r="A205" s="1" t="s">
        <v>12</v>
      </c>
      <c r="B205" s="2" t="s">
        <v>4</v>
      </c>
      <c r="C205" s="2" t="s">
        <v>8</v>
      </c>
      <c r="D205" s="2">
        <v>18</v>
      </c>
      <c r="E205" s="2" t="s">
        <v>77</v>
      </c>
      <c r="F205" s="16">
        <v>22</v>
      </c>
      <c r="G205" s="16" t="s">
        <v>76</v>
      </c>
      <c r="H205" s="16">
        <v>3343</v>
      </c>
      <c r="I205" s="16">
        <v>216.89400000000001</v>
      </c>
      <c r="J205" s="16">
        <v>1765</v>
      </c>
      <c r="K205" s="16">
        <v>1500</v>
      </c>
      <c r="L205" s="16">
        <v>62</v>
      </c>
      <c r="M205" s="16">
        <v>69</v>
      </c>
      <c r="N205" s="16">
        <v>0.89300000000000002</v>
      </c>
      <c r="O205" s="16">
        <v>1.133</v>
      </c>
      <c r="P205" s="16">
        <v>0.88200000000000001</v>
      </c>
      <c r="Q205" s="17">
        <v>0.97099999999999997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Measurements_all_totals</vt:lpstr>
      <vt:lpstr>Light micro progress</vt:lpstr>
      <vt:lpstr>B73 Dinolite Samples Condensed</vt:lpstr>
      <vt:lpstr>B73 Total per section</vt:lpstr>
      <vt:lpstr>B73_metaxylem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Swift</dc:creator>
  <cp:lastModifiedBy>Asif, Shahzaib</cp:lastModifiedBy>
  <dcterms:created xsi:type="dcterms:W3CDTF">2015-06-05T18:17:20Z</dcterms:created>
  <dcterms:modified xsi:type="dcterms:W3CDTF">2025-11-19T22:14:00Z</dcterms:modified>
</cp:coreProperties>
</file>